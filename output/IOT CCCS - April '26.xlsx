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uffing" sheetId="2" r:id="rId2"/>
  </sheets>
  <definedNames>
    <definedName name="_xlnm.Print_Area" localSheetId="0">Summary!$A$1:$G$20</definedName>
  </definedNames>
  <calcPr calcId="124519" fullCalcOnLoad="1"/>
</workbook>
</file>

<file path=xl/sharedStrings.xml><?xml version="1.0" encoding="utf-8"?>
<sst xmlns="http://schemas.openxmlformats.org/spreadsheetml/2006/main" count="76" uniqueCount="45">
  <si>
    <t>Date Range:</t>
  </si>
  <si>
    <t>April '26</t>
  </si>
  <si>
    <t>Client:</t>
  </si>
  <si>
    <t>IOT</t>
  </si>
  <si>
    <t>Normal Hours</t>
  </si>
  <si>
    <t>Tons</t>
  </si>
  <si>
    <t>Overtime 150%</t>
  </si>
  <si>
    <t>-</t>
  </si>
  <si>
    <t>Overtime 200%</t>
  </si>
  <si>
    <t>Total Tonnage</t>
  </si>
  <si>
    <t>Services</t>
  </si>
  <si>
    <t>Unit Price ($)</t>
  </si>
  <si>
    <t>Total ($)</t>
  </si>
  <si>
    <t>Vessel Unloading Operations</t>
  </si>
  <si>
    <t>$</t>
  </si>
  <si>
    <t>vessel</t>
  </si>
  <si>
    <t>day_name</t>
  </si>
  <si>
    <t>date</t>
  </si>
  <si>
    <t>start_time</t>
  </si>
  <si>
    <t>container_number</t>
  </si>
  <si>
    <t>end_time</t>
  </si>
  <si>
    <t>overtime</t>
  </si>
  <si>
    <t>total_tonnage</t>
  </si>
  <si>
    <t>storage</t>
  </si>
  <si>
    <t>unit_price</t>
  </si>
  <si>
    <t>total_price</t>
  </si>
  <si>
    <t>PLAYA DE RIS</t>
  </si>
  <si>
    <t>Tue</t>
  </si>
  <si>
    <t>12:05:00</t>
  </si>
  <si>
    <t>TTNU8336350</t>
  </si>
  <si>
    <t>16:05:00</t>
  </si>
  <si>
    <t>normal hours</t>
  </si>
  <si>
    <t>Brine</t>
  </si>
  <si>
    <t>Wed</t>
  </si>
  <si>
    <t>13:59:00</t>
  </si>
  <si>
    <t>TTNU8204924</t>
  </si>
  <si>
    <t>16:27:00</t>
  </si>
  <si>
    <t>10:07:00</t>
  </si>
  <si>
    <t>12:40:00</t>
  </si>
  <si>
    <t>08:22:00</t>
  </si>
  <si>
    <t>TLLU1030562</t>
  </si>
  <si>
    <t>11:54:00</t>
  </si>
  <si>
    <t>12:47:00</t>
  </si>
  <si>
    <t>TCLU1222417</t>
  </si>
  <si>
    <t>13:48:00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</si>
</sst>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6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5" formatCode="yyyy-mm-dd"/>
    </dxf>
    <dxf>
      <numFmt numFmtId="164" formatCode="#,##0.00;[Red]-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tuffing_2" displayName="Stuffing_2" ref="A1:K7" totalsRowCount="1">
  <autoFilter ref="A1:K6"/>
  <tableColumns count="11">
    <tableColumn id="1" name="vessel" dataDxfId="0"/>
    <tableColumn id="2" name="day_name" dataDxfId="0"/>
    <tableColumn id="3" name="date" dataDxfId="1"/>
    <tableColumn id="4" name="start_time" dataDxfId="0"/>
    <tableColumn id="5" name="container_number" dataDxfId="0"/>
    <tableColumn id="6" name="end_time" dataDxfId="0"/>
    <tableColumn id="7" name="overtime" dataDxfId="0"/>
    <tableColumn id="8" name="total_tonnage" totalsRowFunction="sum" dataDxfId="2"/>
    <tableColumn id="9" name="storage" dataDxfId="0"/>
    <tableColumn id="10" name="unit_price" totalsRowFunction="sum" dataDxfId="2"/>
    <tableColumn id="11" name="total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19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7">
      <c r="B2" s="1" t="s">
        <v>0</v>
      </c>
      <c r="C2" s="2" t="s">
        <v>1</v>
      </c>
    </row>
    <row r="3" spans="2:7" ht="30" customHeight="1">
      <c r="B3" s="1" t="s">
        <v>2</v>
      </c>
      <c r="C3" s="3" t="s">
        <v>3</v>
      </c>
    </row>
    <row r="7" spans="2:7">
      <c r="B7" s="4" t="s">
        <v>4</v>
      </c>
      <c r="C7" s="5">
        <v>92.450</v>
      </c>
      <c r="D7" s="6" t="s">
        <v>5</v>
      </c>
    </row>
    <row r="8" spans="2:7">
      <c r="B8" s="4" t="s">
        <v>6</v>
      </c>
      <c r="C8" s="5" t="s">
        <v>7</v>
      </c>
      <c r="D8" s="6" t="s">
        <v>5</v>
      </c>
    </row>
    <row r="9" spans="2:7">
      <c r="B9" s="4" t="s">
        <v>8</v>
      </c>
      <c r="C9" s="5" t="s">
        <v>7</v>
      </c>
      <c r="D9" s="6" t="s">
        <v>5</v>
      </c>
    </row>
    <row r="11" spans="2:7">
      <c r="B11" s="7" t="s">
        <v>9</v>
      </c>
      <c r="C11" s="5">
        <v>92.450</v>
      </c>
      <c r="D11" s="6" t="s">
        <v>5</v>
      </c>
    </row>
    <row r="14" spans="2:7">
      <c r="B14" s="8" t="s">
        <v>10</v>
      </c>
      <c r="D14" s="9" t="s">
        <v>11</v>
      </c>
      <c r="E14" s="9"/>
      <c r="F14" s="9" t="s">
        <v>12</v>
      </c>
      <c r="G14" s="9"/>
    </row>
    <row r="15" spans="2:7">
      <c r="B15" s="10" t="s">
        <v>13</v>
      </c>
      <c r="C15" s="4" t="s">
        <v>4</v>
      </c>
      <c r="D15" s="11" t="s">
        <v>14</v>
      </c>
      <c r="E15" s="12">
        <v>25.5</v>
      </c>
      <c r="F15" s="11" t="s">
        <v>14</v>
      </c>
      <c r="G15" s="12">
        <v>2357.48</v>
      </c>
    </row>
    <row r="16" spans="2:7">
      <c r="B16" s="10"/>
      <c r="C16" s="4" t="s">
        <v>6</v>
      </c>
      <c r="D16" s="11" t="s">
        <v>14</v>
      </c>
      <c r="E16" s="12">
        <v>38.25</v>
      </c>
      <c r="F16" s="11" t="s">
        <v>14</v>
      </c>
      <c r="G16" s="12" t="s">
        <v>7</v>
      </c>
    </row>
    <row r="17" spans="2:7">
      <c r="B17" s="10"/>
      <c r="C17" s="4" t="s">
        <v>8</v>
      </c>
      <c r="D17" s="11" t="s">
        <v>14</v>
      </c>
      <c r="E17" s="12">
        <v>51</v>
      </c>
      <c r="F17" s="11" t="s">
        <v>14</v>
      </c>
      <c r="G17" s="12" t="s">
        <v>7</v>
      </c>
    </row>
    <row r="19" spans="2:7">
      <c r="F19" s="13" t="s">
        <v>14</v>
      </c>
      <c r="G19" s="14">
        <v>2357.48</v>
      </c>
    </row>
  </sheetData>
  <mergeCells count="2">
    <mergeCell ref="D14:E14"/>
    <mergeCell ref="F14:G14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4" width="12.7109375" customWidth="1"/>
    <col min="5" max="5" width="18.7109375" customWidth="1"/>
    <col min="6" max="6" width="10.7109375" customWidth="1"/>
    <col min="7" max="7" width="14.7109375" customWidth="1"/>
    <col min="8" max="8" width="15.7109375" customWidth="1"/>
    <col min="9" max="9" width="9.7109375" customWidth="1"/>
    <col min="10" max="10" width="12.7109375" customWidth="1"/>
    <col min="11" max="11" width="13.7109375" customWidth="1"/>
  </cols>
  <sheetData>
    <row r="1" spans="1:11" ht="24" customHeight="1">
      <c r="A1" s="15" t="s">
        <v>15</v>
      </c>
      <c r="B1" s="15" t="s">
        <v>16</v>
      </c>
      <c r="C1" s="15" t="s">
        <v>17</v>
      </c>
      <c r="D1" s="15" t="s">
        <v>18</v>
      </c>
      <c r="E1" s="15" t="s">
        <v>19</v>
      </c>
      <c r="F1" s="15" t="s">
        <v>20</v>
      </c>
      <c r="G1" s="15" t="s">
        <v>21</v>
      </c>
      <c r="H1" s="15" t="s">
        <v>22</v>
      </c>
      <c r="I1" s="15" t="s">
        <v>23</v>
      </c>
      <c r="J1" s="15" t="s">
        <v>24</v>
      </c>
      <c r="K1" s="15" t="s">
        <v>25</v>
      </c>
    </row>
    <row r="2" spans="1:11">
      <c r="A2" s="16" t="s">
        <v>26</v>
      </c>
      <c r="B2" s="16" t="s">
        <v>27</v>
      </c>
      <c r="C2" s="17">
        <v>46126</v>
      </c>
      <c r="D2" s="16" t="s">
        <v>28</v>
      </c>
      <c r="E2" s="16" t="s">
        <v>29</v>
      </c>
      <c r="F2" s="16" t="s">
        <v>30</v>
      </c>
      <c r="G2" s="16" t="s">
        <v>31</v>
      </c>
      <c r="H2" s="18">
        <v>9.77</v>
      </c>
      <c r="I2" s="16" t="s">
        <v>32</v>
      </c>
      <c r="J2" s="18">
        <v>25.5</v>
      </c>
      <c r="K2" s="18">
        <v>249.135</v>
      </c>
    </row>
    <row r="3" spans="1:11">
      <c r="A3" s="16" t="s">
        <v>26</v>
      </c>
      <c r="B3" s="16" t="s">
        <v>33</v>
      </c>
      <c r="C3" s="17">
        <v>46127</v>
      </c>
      <c r="D3" s="16" t="s">
        <v>34</v>
      </c>
      <c r="E3" s="16" t="s">
        <v>35</v>
      </c>
      <c r="F3" s="16" t="s">
        <v>36</v>
      </c>
      <c r="G3" s="16" t="s">
        <v>31</v>
      </c>
      <c r="H3" s="18">
        <v>17.84</v>
      </c>
      <c r="I3" s="16" t="s">
        <v>32</v>
      </c>
      <c r="J3" s="18">
        <v>25.5</v>
      </c>
      <c r="K3" s="18">
        <v>454.92</v>
      </c>
    </row>
    <row r="4" spans="1:11">
      <c r="A4" s="16" t="s">
        <v>26</v>
      </c>
      <c r="B4" s="16" t="s">
        <v>33</v>
      </c>
      <c r="C4" s="17">
        <v>46127</v>
      </c>
      <c r="D4" s="16" t="s">
        <v>37</v>
      </c>
      <c r="E4" s="16" t="s">
        <v>29</v>
      </c>
      <c r="F4" s="16" t="s">
        <v>38</v>
      </c>
      <c r="G4" s="16" t="s">
        <v>31</v>
      </c>
      <c r="H4" s="18">
        <v>16.75</v>
      </c>
      <c r="I4" s="16" t="s">
        <v>32</v>
      </c>
      <c r="J4" s="18">
        <v>25.5</v>
      </c>
      <c r="K4" s="18">
        <v>427.125</v>
      </c>
    </row>
    <row r="5" spans="1:11">
      <c r="A5" s="16" t="s">
        <v>26</v>
      </c>
      <c r="B5" s="16" t="s">
        <v>33</v>
      </c>
      <c r="C5" s="17">
        <v>46127</v>
      </c>
      <c r="D5" s="16" t="s">
        <v>39</v>
      </c>
      <c r="E5" s="16" t="s">
        <v>40</v>
      </c>
      <c r="F5" s="16" t="s">
        <v>41</v>
      </c>
      <c r="G5" s="16" t="s">
        <v>31</v>
      </c>
      <c r="H5" s="18">
        <v>22.03</v>
      </c>
      <c r="I5" s="16" t="s">
        <v>32</v>
      </c>
      <c r="J5" s="18">
        <v>25.5</v>
      </c>
      <c r="K5" s="18">
        <v>561.765</v>
      </c>
    </row>
    <row r="6" spans="1:11">
      <c r="A6" s="16" t="s">
        <v>26</v>
      </c>
      <c r="B6" s="16" t="s">
        <v>33</v>
      </c>
      <c r="C6" s="17">
        <v>46127</v>
      </c>
      <c r="D6" s="16" t="s">
        <v>42</v>
      </c>
      <c r="E6" s="16" t="s">
        <v>43</v>
      </c>
      <c r="F6" s="16" t="s">
        <v>44</v>
      </c>
      <c r="G6" s="16" t="s">
        <v>31</v>
      </c>
      <c r="H6" s="18">
        <v>26.06</v>
      </c>
      <c r="I6" s="16" t="s">
        <v>32</v>
      </c>
      <c r="J6" s="18">
        <v>25.5</v>
      </c>
      <c r="K6" s="18">
        <v>664.53</v>
      </c>
    </row>
    <row r="7" spans="1:11">
      <c r="H7" s="18">
        <f>SUBTOTAL(109,[total_tonnage])</f>
        <v>0</v>
      </c>
      <c r="J7" s="18">
        <f>SUBTOTAL(109,[unit_price])</f>
        <v>0</v>
      </c>
      <c r="K7" s="18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Stuffing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2026-07-21T10:35:59Z</dcterms:created>
  <dcterms:modified xsi:type="dcterms:W3CDTF">2026-07-21T10:35:59Z</dcterms:modified>
</cp:coreProperties>
</file>