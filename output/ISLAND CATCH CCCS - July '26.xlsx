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CCS Container Stuffing" sheetId="2" r:id="rId2"/>
    <sheet name="Shore Crane" sheetId="3" r:id="rId3"/>
    <sheet name="Live Storage" sheetId="4" r:id="rId4"/>
    <sheet name="Transfer" sheetId="5" r:id="rId5"/>
  </sheets>
  <definedNames>
    <definedName name="_xlnm.Print_Area" localSheetId="0">Summary!$A$1:$G$34</definedName>
  </definedNames>
  <calcPr calcId="124519" fullCalcOnLoad="1"/>
</workbook>
</file>

<file path=xl/sharedStrings.xml><?xml version="1.0" encoding="utf-8"?>
<sst xmlns="http://schemas.openxmlformats.org/spreadsheetml/2006/main" count="116" uniqueCount="67">
  <si>
    <t>Date Range:</t>
  </si>
  <si>
    <t>July '26</t>
  </si>
  <si>
    <t>Client:</t>
  </si>
  <si>
    <t>MAERSKLINE - ISLAND CATCH</t>
  </si>
  <si>
    <t>Haulage Collection</t>
  </si>
  <si>
    <t>-</t>
  </si>
  <si>
    <t>Moves</t>
  </si>
  <si>
    <t>Haulage Delivery</t>
  </si>
  <si>
    <t>Total Moves</t>
  </si>
  <si>
    <t>Hours of Service</t>
  </si>
  <si>
    <t>Hours</t>
  </si>
  <si>
    <t>Total No of Container Stuffed</t>
  </si>
  <si>
    <t>Units</t>
  </si>
  <si>
    <t>No of Days / Storage (Live)</t>
  </si>
  <si>
    <t>Days</t>
  </si>
  <si>
    <t>Total Tonnage (CCCS to Container)</t>
  </si>
  <si>
    <t>Tons</t>
  </si>
  <si>
    <t>Services</t>
  </si>
  <si>
    <t>Unit Price ($)</t>
  </si>
  <si>
    <t>Total ($)</t>
  </si>
  <si>
    <t>Haulage</t>
  </si>
  <si>
    <t>40'</t>
  </si>
  <si>
    <t>$</t>
  </si>
  <si>
    <t>Live Storage</t>
  </si>
  <si>
    <t>-25</t>
  </si>
  <si>
    <t>-35</t>
  </si>
  <si>
    <t>-60</t>
  </si>
  <si>
    <t>Plugin</t>
  </si>
  <si>
    <t>Monitoring</t>
  </si>
  <si>
    <t>CCCS Unloading to Container</t>
  </si>
  <si>
    <t>Stuffing - Static Loader</t>
  </si>
  <si>
    <t>Stuffing - Shore Crane</t>
  </si>
  <si>
    <t>Stuffing - By Hand</t>
  </si>
  <si>
    <t>Crane Rental</t>
  </si>
  <si>
    <t>day_name</t>
  </si>
  <si>
    <t>date</t>
  </si>
  <si>
    <t>container_number</t>
  </si>
  <si>
    <t>customer</t>
  </si>
  <si>
    <t>service</t>
  </si>
  <si>
    <t>total_tonnage</t>
  </si>
  <si>
    <t>overtime_tonnage</t>
  </si>
  <si>
    <t>unit_price</t>
  </si>
  <si>
    <t>total_price</t>
  </si>
  <si>
    <t>start_time</t>
  </si>
  <si>
    <t>end_time</t>
  </si>
  <si>
    <t>hours</t>
  </si>
  <si>
    <t>overtime_hours</t>
  </si>
  <si>
    <t>location</t>
  </si>
  <si>
    <t>vessel_client</t>
  </si>
  <si>
    <t>date_plugged</t>
  </si>
  <si>
    <t>time_plugged</t>
  </si>
  <si>
    <t>plugged_status</t>
  </si>
  <si>
    <t>date_out</t>
  </si>
  <si>
    <t>number_of_days_on_plug</t>
  </si>
  <si>
    <t>set_point</t>
  </si>
  <si>
    <t>tonnage</t>
  </si>
  <si>
    <t>plugin_price</t>
  </si>
  <si>
    <t>monitoring_price</t>
  </si>
  <si>
    <t>storage_price</t>
  </si>
  <si>
    <t>movement_type</t>
  </si>
  <si>
    <t>destination</t>
  </si>
  <si>
    <t>status</t>
  </si>
  <si>
    <t>time_out</t>
  </si>
  <si>
    <t>driver</t>
  </si>
  <si>
    <t>type</t>
  </si>
  <si>
    <t>size</t>
  </si>
  <si>
    <t>haulage_price</t>
  </si>
</sst>
</file>

<file path=xl/styles.xml><?xml version="1.0" encoding="utf-8"?>
<styleSheet xmlns="http://schemas.openxmlformats.org/spreadsheetml/2006/main">
  <numFmts count="5">
    <numFmt numFmtId="164" formatCode="#,##0.00;[Red]-#,##0.00;&quot;-&quot;"/>
    <numFmt numFmtId="165" formatCode="#,##0.00"/>
    <numFmt numFmtId="166" formatCode="#,##0.000;[Red]-#,##0.000"/>
    <numFmt numFmtId="167" formatCode="#,##0"/>
    <numFmt numFmtId="168" formatCode="#,##0;[Red]-#,##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80"/>
      <name val="Calibri"/>
      <family val="2"/>
      <scheme val="minor"/>
    </font>
    <font>
      <sz val="11"/>
      <color rgb="FF00008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35F9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222B3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164" fontId="0" fillId="0" borderId="3" xfId="0" applyNumberFormat="1" applyBorder="1" applyAlignment="1">
      <alignment horizontal="right" vertical="center"/>
    </xf>
    <xf numFmtId="0" fontId="1" fillId="0" borderId="4" xfId="0" applyFont="1" applyBorder="1" applyAlignment="1">
      <alignment horizontal="center"/>
    </xf>
    <xf numFmtId="165" fontId="1" fillId="0" borderId="4" xfId="0" applyNumberFormat="1" applyFont="1" applyBorder="1" applyAlignment="1">
      <alignment horizontal="right"/>
    </xf>
    <xf numFmtId="0" fontId="2" fillId="3" borderId="0" xfId="0" applyFont="1" applyFill="1" applyAlignment="1">
      <alignment horizontal="center" vertical="center" wrapText="1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4" borderId="0" xfId="0" applyFont="1" applyFill="1" applyAlignment="1">
      <alignment horizontal="center" vertical="center" wrapText="1"/>
    </xf>
    <xf numFmtId="167" fontId="0" fillId="0" borderId="0" xfId="0" applyNumberFormat="1" applyAlignment="1">
      <alignment vertical="center"/>
    </xf>
    <xf numFmtId="0" fontId="2" fillId="5" borderId="0" xfId="0" applyFont="1" applyFill="1" applyAlignment="1">
      <alignment horizontal="center" vertical="center" wrapText="1"/>
    </xf>
    <xf numFmtId="168" fontId="0" fillId="0" borderId="0" xfId="0" applyNumberFormat="1" applyAlignment="1">
      <alignment vertical="center"/>
    </xf>
    <xf numFmtId="0" fontId="2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/>
    <dxf>
      <numFmt numFmtId="169" formatCode="yyyy-dd-mm"/>
    </dxf>
    <dxf>
      <numFmt numFmtId="166" formatCode="#,##0.000;[Red]-#,##0.000"/>
    </dxf>
    <dxf>
      <numFmt numFmtId="170" formatCode="hh:mm:ss;@"/>
    </dxf>
    <dxf>
      <numFmt numFmtId="167" formatCode="#,##0"/>
    </dxf>
    <dxf>
      <numFmt numFmtId="168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CCS_Container_Stuffing_2" displayName="CCCS_Container_Stuffing_2" ref="A1:I3" totalsRowShown="0">
  <autoFilter ref="A1:I3"/>
  <tableColumns count="9">
    <tableColumn id="1" name="day_name" dataDxfId="0"/>
    <tableColumn id="2" name="date" dataDxfId="1"/>
    <tableColumn id="3" name="container_number" dataDxfId="0"/>
    <tableColumn id="4" name="customer" dataDxfId="0"/>
    <tableColumn id="5" name="service" dataDxfId="0"/>
    <tableColumn id="6" name="total_tonnage" totalsRowFunction="sum" dataDxfId="2"/>
    <tableColumn id="7" name="overtime_tonnage" totalsRowFunction="sum" dataDxfId="2"/>
    <tableColumn id="8" name="unit_price" totalsRowFunction="sum" dataDxfId="2"/>
    <tableColumn id="9" name="total_price" totalsRowFunction="sum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Shore_Crane_3" displayName="Shore_Crane_3" ref="A1:J3" totalsRowShown="0">
  <autoFilter ref="A1:J3"/>
  <tableColumns count="10">
    <tableColumn id="1" name="day_name" dataDxfId="0"/>
    <tableColumn id="2" name="date" dataDxfId="1"/>
    <tableColumn id="3" name="start_time" dataDxfId="3"/>
    <tableColumn id="4" name="end_time" dataDxfId="0"/>
    <tableColumn id="5" name="hours" totalsRowFunction="sum" dataDxfId="4"/>
    <tableColumn id="6" name="overtime_hours" totalsRowFunction="sum" dataDxfId="4"/>
    <tableColumn id="7" name="customer" dataDxfId="0"/>
    <tableColumn id="8" name="location" dataDxfId="0"/>
    <tableColumn id="9" name="unit_price" totalsRowFunction="sum" dataDxfId="2"/>
    <tableColumn id="10" name="total_price" totalsRowFunction="sum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Live_Storage_4" displayName="Live_Storage_4" ref="A1:M3" totalsRowShown="0">
  <autoFilter ref="A1:M3"/>
  <tableColumns count="13">
    <tableColumn id="1" name="vessel_client" dataDxfId="0"/>
    <tableColumn id="2" name="date_plugged" dataDxfId="1"/>
    <tableColumn id="3" name="time_plugged" dataDxfId="3"/>
    <tableColumn id="4" name="container_number" dataDxfId="0"/>
    <tableColumn id="5" name="plugged_status" dataDxfId="0"/>
    <tableColumn id="6" name="date_out" dataDxfId="1"/>
    <tableColumn id="7" name="number_of_days_on_plug" totalsRowFunction="sum" dataDxfId="5"/>
    <tableColumn id="8" name="set_point" totalsRowFunction="sum" dataDxfId="5"/>
    <tableColumn id="9" name="tonnage" totalsRowFunction="sum" dataDxfId="2"/>
    <tableColumn id="10" name="plugin_price" totalsRowFunction="sum" dataDxfId="2"/>
    <tableColumn id="11" name="monitoring_price" totalsRowFunction="sum" dataDxfId="2"/>
    <tableColumn id="12" name="storage_price" totalsRowFunction="sum" dataDxfId="2"/>
    <tableColumn id="13" name="total_price" totalsRowFunction="sum" dataDxfId="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ransfer_5" displayName="Transfer_5" ref="A1:L3" totalsRowShown="0">
  <autoFilter ref="A1:L3"/>
  <tableColumns count="12">
    <tableColumn id="1" name="day_name" dataDxfId="0"/>
    <tableColumn id="2" name="container_number" dataDxfId="0"/>
    <tableColumn id="3" name="date" dataDxfId="1"/>
    <tableColumn id="4" name="movement_type" dataDxfId="0"/>
    <tableColumn id="5" name="destination" dataDxfId="0"/>
    <tableColumn id="6" name="status" dataDxfId="0"/>
    <tableColumn id="7" name="time_out" dataDxfId="3"/>
    <tableColumn id="8" name="driver" dataDxfId="0"/>
    <tableColumn id="9" name="type" dataDxfId="0"/>
    <tableColumn id="10" name="size" dataDxfId="0"/>
    <tableColumn id="11" name="customer" dataDxfId="0"/>
    <tableColumn id="12" name="haulage_price" totalsRowFunction="sum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G33"/>
  <sheetViews>
    <sheetView showGridLines="0" tabSelected="1" zoomScale="90" zoomScaleNormal="90" workbookViewId="0"/>
  </sheetViews>
  <sheetFormatPr defaultRowHeight="15"/>
  <cols>
    <col min="1" max="1" width="4.7109375" customWidth="1"/>
    <col min="2" max="2" width="30.7109375" customWidth="1"/>
    <col min="3" max="3" width="26.7109375" customWidth="1"/>
    <col min="4" max="4" width="4.7109375" customWidth="1"/>
    <col min="5" max="5" width="11.7109375" customWidth="1"/>
    <col min="6" max="6" width="4.7109375" customWidth="1"/>
    <col min="7" max="7" width="13.7109375" customWidth="1"/>
  </cols>
  <sheetData>
    <row r="2" spans="2:4">
      <c r="B2" s="1" t="s">
        <v>0</v>
      </c>
      <c r="C2" s="2" t="s">
        <v>1</v>
      </c>
    </row>
    <row r="3" spans="2:4" ht="30" customHeight="1">
      <c r="B3" s="1" t="s">
        <v>2</v>
      </c>
      <c r="C3" s="3" t="s">
        <v>3</v>
      </c>
    </row>
    <row r="6" spans="2:4">
      <c r="B6" s="4" t="s">
        <v>4</v>
      </c>
      <c r="C6" s="5" t="s">
        <v>5</v>
      </c>
      <c r="D6" s="6" t="s">
        <v>6</v>
      </c>
    </row>
    <row r="7" spans="2:4">
      <c r="B7" s="4" t="s">
        <v>7</v>
      </c>
      <c r="C7" s="5" t="s">
        <v>5</v>
      </c>
      <c r="D7" s="6" t="s">
        <v>6</v>
      </c>
    </row>
    <row r="8" spans="2:4">
      <c r="B8" s="7" t="s">
        <v>8</v>
      </c>
      <c r="C8" s="5" t="s">
        <v>5</v>
      </c>
      <c r="D8" s="6" t="s">
        <v>6</v>
      </c>
    </row>
    <row r="10" spans="2:4">
      <c r="B10" s="4" t="s">
        <v>9</v>
      </c>
      <c r="C10" s="5" t="s">
        <v>5</v>
      </c>
      <c r="D10" s="6" t="s">
        <v>10</v>
      </c>
    </row>
    <row r="11" spans="2:4">
      <c r="B11" s="4" t="s">
        <v>11</v>
      </c>
      <c r="C11" s="5" t="s">
        <v>5</v>
      </c>
      <c r="D11" s="6" t="s">
        <v>12</v>
      </c>
    </row>
    <row r="12" spans="2:4">
      <c r="B12" s="4" t="s">
        <v>13</v>
      </c>
      <c r="C12" s="5" t="s">
        <v>5</v>
      </c>
      <c r="D12" s="6" t="s">
        <v>14</v>
      </c>
    </row>
    <row r="14" spans="2:4">
      <c r="B14" s="7" t="s">
        <v>15</v>
      </c>
      <c r="C14" s="5" t="s">
        <v>5</v>
      </c>
      <c r="D14" s="6" t="s">
        <v>16</v>
      </c>
    </row>
    <row r="17" spans="2:7">
      <c r="B17" s="8" t="s">
        <v>17</v>
      </c>
      <c r="D17" s="9" t="s">
        <v>18</v>
      </c>
      <c r="E17" s="9"/>
      <c r="F17" s="9" t="s">
        <v>19</v>
      </c>
      <c r="G17" s="9"/>
    </row>
    <row r="18" spans="2:7">
      <c r="B18" s="10" t="s">
        <v>20</v>
      </c>
      <c r="C18" s="4" t="s">
        <v>21</v>
      </c>
      <c r="D18" s="11" t="s">
        <v>22</v>
      </c>
      <c r="E18" s="12">
        <v>90</v>
      </c>
      <c r="F18" s="11" t="s">
        <v>22</v>
      </c>
      <c r="G18" s="12" t="s">
        <v>5</v>
      </c>
    </row>
    <row r="20" spans="2:7">
      <c r="B20" s="10" t="s">
        <v>23</v>
      </c>
      <c r="C20" s="4" t="s">
        <v>24</v>
      </c>
      <c r="D20" s="11" t="s">
        <v>22</v>
      </c>
      <c r="E20" s="12">
        <v>70</v>
      </c>
      <c r="F20" s="11" t="s">
        <v>22</v>
      </c>
      <c r="G20" s="12" t="s">
        <v>5</v>
      </c>
    </row>
    <row r="21" spans="2:7">
      <c r="B21" s="10"/>
      <c r="C21" s="4" t="s">
        <v>25</v>
      </c>
      <c r="D21" s="11" t="s">
        <v>22</v>
      </c>
      <c r="E21" s="12">
        <v>100</v>
      </c>
      <c r="F21" s="11" t="s">
        <v>22</v>
      </c>
      <c r="G21" s="12" t="s">
        <v>5</v>
      </c>
    </row>
    <row r="22" spans="2:7">
      <c r="B22" s="10"/>
      <c r="C22" s="4" t="s">
        <v>26</v>
      </c>
      <c r="D22" s="11" t="s">
        <v>22</v>
      </c>
      <c r="E22" s="12">
        <v>110</v>
      </c>
      <c r="F22" s="11" t="s">
        <v>22</v>
      </c>
      <c r="G22" s="12" t="s">
        <v>5</v>
      </c>
    </row>
    <row r="24" spans="2:7">
      <c r="B24" s="10" t="s">
        <v>27</v>
      </c>
      <c r="C24" s="4"/>
      <c r="D24" s="11" t="s">
        <v>22</v>
      </c>
      <c r="E24" s="12">
        <v>25</v>
      </c>
      <c r="F24" s="11" t="s">
        <v>22</v>
      </c>
      <c r="G24" s="12" t="s">
        <v>5</v>
      </c>
    </row>
    <row r="26" spans="2:7">
      <c r="B26" s="10" t="s">
        <v>28</v>
      </c>
      <c r="C26" s="4"/>
      <c r="D26" s="11" t="s">
        <v>22</v>
      </c>
      <c r="E26" s="12">
        <v>30</v>
      </c>
      <c r="F26" s="11" t="s">
        <v>22</v>
      </c>
      <c r="G26" s="12" t="s">
        <v>5</v>
      </c>
    </row>
    <row r="28" spans="2:7">
      <c r="B28" s="10" t="s">
        <v>29</v>
      </c>
      <c r="C28" s="4" t="s">
        <v>30</v>
      </c>
      <c r="D28" s="11" t="s">
        <v>22</v>
      </c>
      <c r="E28" s="12">
        <v>26.5</v>
      </c>
      <c r="F28" s="11" t="s">
        <v>22</v>
      </c>
      <c r="G28" s="12" t="s">
        <v>5</v>
      </c>
    </row>
    <row r="29" spans="2:7">
      <c r="B29" s="10"/>
      <c r="C29" s="4" t="s">
        <v>31</v>
      </c>
      <c r="D29" s="11" t="s">
        <v>22</v>
      </c>
      <c r="E29" s="12">
        <v>25.5</v>
      </c>
      <c r="F29" s="11" t="s">
        <v>22</v>
      </c>
      <c r="G29" s="12" t="s">
        <v>5</v>
      </c>
    </row>
    <row r="30" spans="2:7">
      <c r="B30" s="10"/>
      <c r="C30" s="4" t="s">
        <v>32</v>
      </c>
      <c r="D30" s="11" t="s">
        <v>22</v>
      </c>
      <c r="E30" s="12">
        <v>30</v>
      </c>
      <c r="F30" s="11" t="s">
        <v>22</v>
      </c>
      <c r="G30" s="12" t="s">
        <v>5</v>
      </c>
    </row>
    <row r="31" spans="2:7">
      <c r="B31" s="10"/>
      <c r="C31" s="4" t="s">
        <v>33</v>
      </c>
      <c r="D31" s="11" t="s">
        <v>22</v>
      </c>
      <c r="E31" s="12">
        <v>135</v>
      </c>
      <c r="F31" s="11" t="s">
        <v>22</v>
      </c>
      <c r="G31" s="12" t="s">
        <v>5</v>
      </c>
    </row>
    <row r="33" spans="6:7">
      <c r="F33" s="13" t="s">
        <v>22</v>
      </c>
      <c r="G33" s="14">
        <v>0</v>
      </c>
    </row>
  </sheetData>
  <mergeCells count="2">
    <mergeCell ref="D17:E17"/>
    <mergeCell ref="F17:G17"/>
  </mergeCells>
  <printOptions horizontalCentered="1"/>
  <pageMargins left="0.25" right="0.25" top="0.6" bottom="0.6" header="0.3" footer="0.3"/>
  <pageSetup paperSize="9" orientation="portrait"/>
  <headerFooter>
    <oddHeader>&amp;C&amp;B&amp;A</oddHead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6.7109375" customWidth="1"/>
    <col min="3" max="3" width="18.7109375" customWidth="1"/>
    <col min="4" max="4" width="10.7109375" customWidth="1"/>
    <col min="5" max="5" width="9.7109375" customWidth="1"/>
    <col min="6" max="6" width="15.7109375" customWidth="1"/>
    <col min="7" max="7" width="18.7109375" customWidth="1"/>
    <col min="8" max="8" width="12.7109375" customWidth="1"/>
    <col min="9" max="9" width="13.7109375" customWidth="1"/>
  </cols>
  <sheetData>
    <row r="1" spans="1:9" ht="24" customHeight="1">
      <c r="A1" s="15" t="s">
        <v>34</v>
      </c>
      <c r="B1" s="15" t="s">
        <v>35</v>
      </c>
      <c r="C1" s="15" t="s">
        <v>36</v>
      </c>
      <c r="D1" s="15" t="s">
        <v>37</v>
      </c>
      <c r="E1" s="15" t="s">
        <v>38</v>
      </c>
      <c r="F1" s="15" t="s">
        <v>39</v>
      </c>
      <c r="G1" s="15" t="s">
        <v>40</v>
      </c>
      <c r="H1" s="15" t="s">
        <v>41</v>
      </c>
      <c r="I1" s="15" t="s">
        <v>42</v>
      </c>
    </row>
    <row r="3" spans="1:9">
      <c r="F3" s="16">
        <f>SUBTOTAL(109,[total_tonnage])</f>
        <v>0</v>
      </c>
      <c r="G3" s="16">
        <f>SUBTOTAL(109,[overtime_tonnage])</f>
        <v>0</v>
      </c>
      <c r="H3" s="16">
        <f>SUBTOTAL(109,[unit_price])</f>
        <v>0</v>
      </c>
      <c r="I3" s="17">
        <f>SUBTOTAL(109,[total_price])</f>
        <v>0</v>
      </c>
    </row>
  </sheetData>
  <printOptions horizontalCentered="1"/>
  <pageMargins left="0.25" right="0.25" top="0.6" bottom="0.6" header="0.3" footer="0.3"/>
  <pageSetup paperSize="9" orientation="landscape"/>
  <headerFooter>
    <oddHeader>&amp;C&amp;B&amp;A</oddHeader>
    <oddFooter>&amp;CPage &amp;P of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6.7109375" customWidth="1"/>
    <col min="3" max="3" width="12.7109375" customWidth="1"/>
    <col min="4" max="4" width="10.7109375" customWidth="1"/>
    <col min="5" max="5" width="7.7109375" customWidth="1"/>
    <col min="6" max="6" width="16.7109375" customWidth="1"/>
    <col min="7" max="8" width="10.7109375" customWidth="1"/>
    <col min="9" max="9" width="12.7109375" customWidth="1"/>
    <col min="10" max="10" width="13.7109375" customWidth="1"/>
  </cols>
  <sheetData>
    <row r="1" spans="1:10" ht="24" customHeight="1">
      <c r="A1" s="18" t="s">
        <v>34</v>
      </c>
      <c r="B1" s="18" t="s">
        <v>35</v>
      </c>
      <c r="C1" s="18" t="s">
        <v>43</v>
      </c>
      <c r="D1" s="18" t="s">
        <v>44</v>
      </c>
      <c r="E1" s="18" t="s">
        <v>45</v>
      </c>
      <c r="F1" s="18" t="s">
        <v>46</v>
      </c>
      <c r="G1" s="18" t="s">
        <v>37</v>
      </c>
      <c r="H1" s="18" t="s">
        <v>47</v>
      </c>
      <c r="I1" s="18" t="s">
        <v>41</v>
      </c>
      <c r="J1" s="18" t="s">
        <v>42</v>
      </c>
    </row>
    <row r="3" spans="1:10">
      <c r="E3" s="19">
        <f>SUBTOTAL(109,[hours])</f>
        <v>0</v>
      </c>
      <c r="F3" s="19">
        <f>SUBTOTAL(109,[overtime_hours])</f>
        <v>0</v>
      </c>
      <c r="I3" s="16">
        <f>SUBTOTAL(109,[unit_price])</f>
        <v>0</v>
      </c>
      <c r="J3" s="17">
        <f>SUBTOTAL(109,[total_price])</f>
        <v>0</v>
      </c>
    </row>
  </sheetData>
  <printOptions horizontalCentered="1"/>
  <pageMargins left="0.25" right="0.25" top="0.6" bottom="0.6" header="0.3" footer="0.3"/>
  <pageSetup paperSize="9" orientation="landscape"/>
  <headerFooter>
    <oddHeader>&amp;C&amp;B&amp;A</oddHeader>
    <oddFooter>&amp;CPage &amp;P of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4.7109375" customWidth="1"/>
    <col min="4" max="4" width="18.7109375" customWidth="1"/>
    <col min="5" max="5" width="16.7109375" customWidth="1"/>
    <col min="6" max="6" width="10.7109375" customWidth="1"/>
    <col min="7" max="7" width="24.7109375" customWidth="1"/>
    <col min="8" max="8" width="11.7109375" customWidth="1"/>
    <col min="9" max="9" width="9.7109375" customWidth="1"/>
    <col min="10" max="10" width="14.7109375" customWidth="1"/>
    <col min="11" max="11" width="18.7109375" customWidth="1"/>
    <col min="12" max="12" width="15.7109375" customWidth="1"/>
    <col min="13" max="13" width="13.7109375" customWidth="1"/>
  </cols>
  <sheetData>
    <row r="1" spans="1:13" ht="24" customHeight="1">
      <c r="A1" s="20" t="s">
        <v>48</v>
      </c>
      <c r="B1" s="20" t="s">
        <v>49</v>
      </c>
      <c r="C1" s="20" t="s">
        <v>50</v>
      </c>
      <c r="D1" s="20" t="s">
        <v>36</v>
      </c>
      <c r="E1" s="20" t="s">
        <v>51</v>
      </c>
      <c r="F1" s="20" t="s">
        <v>52</v>
      </c>
      <c r="G1" s="20" t="s">
        <v>53</v>
      </c>
      <c r="H1" s="20" t="s">
        <v>54</v>
      </c>
      <c r="I1" s="20" t="s">
        <v>55</v>
      </c>
      <c r="J1" s="20" t="s">
        <v>56</v>
      </c>
      <c r="K1" s="20" t="s">
        <v>57</v>
      </c>
      <c r="L1" s="20" t="s">
        <v>58</v>
      </c>
      <c r="M1" s="20" t="s">
        <v>42</v>
      </c>
    </row>
    <row r="3" spans="1:13">
      <c r="G3" s="21">
        <f>SUBTOTAL(109,[number_of_days_on_plug])</f>
        <v>0</v>
      </c>
      <c r="H3" s="21">
        <f>SUBTOTAL(109,[set_point])</f>
        <v>0</v>
      </c>
      <c r="I3" s="16">
        <f>SUBTOTAL(109,[tonnage])</f>
        <v>0</v>
      </c>
      <c r="J3" s="16">
        <f>SUBTOTAL(109,[plugin_price])</f>
        <v>0</v>
      </c>
      <c r="K3" s="16">
        <f>SUBTOTAL(109,[monitoring_price])</f>
        <v>0</v>
      </c>
      <c r="L3" s="16">
        <f>SUBTOTAL(109,[storage_price])</f>
        <v>0</v>
      </c>
      <c r="M3" s="16">
        <f>SUBTOTAL(109,[total_price])</f>
        <v>0</v>
      </c>
    </row>
  </sheetData>
  <printOptions horizontalCentered="1"/>
  <pageMargins left="0.25" right="0.25" top="0.6" bottom="0.6" header="0.3" footer="0.3"/>
  <pageSetup paperSize="9" orientation="landscape"/>
  <headerFooter>
    <oddHeader>&amp;C&amp;B&amp;A</oddHeader>
    <oddFooter>&amp;CPage &amp;P of &amp;N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3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8.7109375" customWidth="1"/>
    <col min="3" max="3" width="6.7109375" customWidth="1"/>
    <col min="4" max="4" width="15.7109375" customWidth="1"/>
    <col min="5" max="5" width="13.7109375" customWidth="1"/>
    <col min="6" max="6" width="8.7109375" customWidth="1"/>
    <col min="7" max="7" width="10.7109375" customWidth="1"/>
    <col min="8" max="8" width="8.7109375" customWidth="1"/>
    <col min="9" max="10" width="6.7109375" customWidth="1"/>
    <col min="11" max="11" width="10.7109375" customWidth="1"/>
    <col min="12" max="12" width="15.7109375" customWidth="1"/>
  </cols>
  <sheetData>
    <row r="1" spans="1:12" ht="24" customHeight="1">
      <c r="A1" s="22" t="s">
        <v>34</v>
      </c>
      <c r="B1" s="22" t="s">
        <v>36</v>
      </c>
      <c r="C1" s="22" t="s">
        <v>35</v>
      </c>
      <c r="D1" s="22" t="s">
        <v>59</v>
      </c>
      <c r="E1" s="22" t="s">
        <v>60</v>
      </c>
      <c r="F1" s="22" t="s">
        <v>61</v>
      </c>
      <c r="G1" s="22" t="s">
        <v>62</v>
      </c>
      <c r="H1" s="22" t="s">
        <v>63</v>
      </c>
      <c r="I1" s="22" t="s">
        <v>64</v>
      </c>
      <c r="J1" s="22" t="s">
        <v>65</v>
      </c>
      <c r="K1" s="22" t="s">
        <v>37</v>
      </c>
      <c r="L1" s="22" t="s">
        <v>66</v>
      </c>
    </row>
    <row r="3" spans="1:12">
      <c r="L3" s="16">
        <f>SUBTOTAL(109,[haulage_price])</f>
        <v>0</v>
      </c>
    </row>
  </sheetData>
  <printOptions horizontalCentered="1"/>
  <pageMargins left="0.25" right="0.25" top="0.6" bottom="0.6" header="0.3" footer="0.3"/>
  <pageSetup paperSize="9" orientation="landscape"/>
  <headerFooter>
    <oddHeader>&amp;C&amp;B&amp;A</oddHeader>
    <oddFooter>&amp;CPage &amp;P of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Summary</vt:lpstr>
      <vt:lpstr>CCCS Container Stuffing</vt:lpstr>
      <vt:lpstr>Shore Crane</vt:lpstr>
      <vt:lpstr>Live Storage</vt:lpstr>
      <vt:lpstr>Transfer</vt:lpstr>
      <vt:lpstr>Summary!Print_Area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2026-07-18T05:42:17Z</dcterms:created>
  <dcterms:modified xsi:type="dcterms:W3CDTF">2026-07-18T05:42:17Z</dcterms:modified>
</cp:coreProperties>
</file>