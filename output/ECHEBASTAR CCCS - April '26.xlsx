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<sst xmlns="http://schemas.openxmlformats.org/spreadsheetml/2006/main" count="363" uniqueCount="101">
  <si>
    <t>Date Range:</t>
  </si>
  <si>
    <t>April '26</t>
  </si>
  <si>
    <t>Client:</t>
  </si>
  <si>
    <t>MAERSKLINE - ECHEBASTAR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</si>
  <si>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</si>
  <si>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</si>
  <si>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</si>
  <si>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</si>
  <si>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</si>
  <si>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</si>
  <si>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</si>
  <si>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</si>
  <si>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</si>
  <si>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</si>
  <si>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</si>
  <si>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</si>
  <si>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</si>
  <si>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</si>
  <si>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</si>
  <si>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</si>
  <si>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</si>
  <si>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</si>
  <si>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</si>
  <si>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</si>
  <si>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</si>
  <si>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</si>
  <si>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</si>
  <si>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</si>
  <si>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</si>
  <si>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</si>
  <si>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</si>
  <si>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</si>
  <si>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</si>
  <si>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</si>
  <si>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</si>
  <si>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</si>
  <si>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</si>
  <si>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</si>
  <si>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</si>
  <si>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</si>
  <si>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</si>
  <si>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</si>
  <si>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</si>
  <si>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Thu</t>
  </si>
  <si>
    <t>SUDU6137432</t>
  </si>
  <si>
    <t>ECHEBASTAR</t>
  </si>
  <si>
    <t>Shore Crane &amp; Fishloader</t>
  </si>
  <si>
    <t>MNBU0113823</t>
  </si>
  <si>
    <t>Tue</t>
  </si>
  <si>
    <t>SUDU8202218</t>
  </si>
  <si>
    <t>Static Loader</t>
  </si>
  <si>
    <t>Wed</t>
  </si>
  <si>
    <t>MNBU0220550</t>
  </si>
  <si>
    <t>MNBU0423095</t>
  </si>
  <si>
    <t>MNBU0648194</t>
  </si>
  <si>
    <t>MNBU0526880</t>
  </si>
  <si>
    <t>MNBU0327933</t>
  </si>
  <si>
    <t>Fri</t>
  </si>
  <si>
    <t>MNBU3897436</t>
  </si>
  <si>
    <t>MNBU0266838</t>
  </si>
  <si>
    <t>SUDU6196775</t>
  </si>
  <si>
    <t>CNIU2234183</t>
  </si>
  <si>
    <t>SUDU8178045</t>
  </si>
  <si>
    <t>SUDU8172160</t>
  </si>
  <si>
    <t>start_time</t>
  </si>
  <si>
    <t>end_time</t>
  </si>
  <si>
    <t>hours</t>
  </si>
  <si>
    <t>overtime_hours</t>
  </si>
  <si>
    <t>location</t>
  </si>
  <si>
    <t>16:25:00</t>
  </si>
  <si>
    <t>NORTH</t>
  </si>
  <si>
    <t>date_plugged</t>
  </si>
  <si>
    <t>plugged_status</t>
  </si>
  <si>
    <t>date_out</t>
  </si>
  <si>
    <t>exit_time</t>
  </si>
  <si>
    <t>days_on_plug</t>
  </si>
  <si>
    <t>set_point</t>
  </si>
  <si>
    <t>tonnage</t>
  </si>
  <si>
    <t>plugin_price</t>
  </si>
  <si>
    <t>monitoring_price</t>
  </si>
  <si>
    <t>storage_price</t>
  </si>
  <si>
    <t>remarks</t>
  </si>
  <si>
    <t>MNBU0626451</t>
  </si>
  <si>
    <t>Full</t>
  </si>
  <si>
    <t>MNBU0085608</t>
  </si>
  <si>
    <t>Completed</t>
  </si>
  <si>
    <t>MNBU0271860</t>
  </si>
  <si>
    <t>MNBU4530830</t>
  </si>
  <si>
    <t>MNBU3460385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</si>
  <si>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</si>
  <si>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</si>
  <si>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</si>
  <si>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</si>
  <si>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</si>
  <si>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</si>
  <si>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</si>
  <si>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</si>
  <si>
    <t>Delivery</t>
  </si>
  <si>
    <t>LML</t>
  </si>
  <si>
    <t>IPHS</t>
  </si>
  <si>
    <t>Reefer</t>
  </si>
</sst>
</file>

<file path=xl/styles.xml><?xml version="1.0" encoding="utf-8"?>
<styleSheet xmlns="http://schemas.openxmlformats.org/spreadsheetml/2006/main">
  <numFmts count="8">
    <numFmt numFmtId="164" formatCode="#,##0.000"/>
    <numFmt numFmtId="165" formatCode="#,##0.00"/>
    <numFmt numFmtId="166" formatCode="yyyy-dd-mm"/>
    <numFmt numFmtId="167" formatCode="#,##0.000;[Red]-#,##0.000"/>
    <numFmt numFmtId="168" formatCode="hh:mm:ss;@"/>
    <numFmt numFmtId="169" formatCode="#,##0"/>
    <numFmt numFmtId="170" formatCode="yyyy-dd-mm hh:mm"/>
    <numFmt numFmtId="171" formatCode="#,##0;[Red]-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6113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5" fontId="7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/>
    <dxf>
      <numFmt numFmtId="166" formatCode="yyyy-dd-mm"/>
    </dxf>
    <dxf>
      <numFmt numFmtId="167" formatCode="#,##0.000;[Red]-#,##0.000"/>
    </dxf>
    <dxf>
      <numFmt numFmtId="168" formatCode="hh:mm:ss;@"/>
    </dxf>
    <dxf>
      <numFmt numFmtId="169" formatCode="#,##0"/>
    </dxf>
    <dxf>
      <numFmt numFmtId="170" formatCode="yyyy-dd-mm hh:mm"/>
    </dxf>
    <dxf>
      <numFmt numFmtId="171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16" totalsRowCount="1">
  <autoFilter ref="A1:I15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3" totalsRowCount="1">
  <autoFilter ref="A1:J2"/>
  <tableColumns count="10">
    <tableColumn id="1" name="day_name" dataDxfId="0"/>
    <tableColumn id="2" name="date" dataDxfId="1"/>
    <tableColumn id="3" name="start_time" dataDxfId="3"/>
    <tableColumn id="4" name="end_time" dataDxfId="0"/>
    <tableColumn id="5" name="hours" totalsRowFunction="sum" dataDxfId="4"/>
    <tableColumn id="6" name="overtime_hours" totalsRowFunction="sum" dataDxfId="4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21" totalsRowCount="1">
  <autoFilter ref="A1:M20"/>
  <tableColumns count="13">
    <tableColumn id="1" name="date_plugged" dataDxfId="5"/>
    <tableColumn id="2" name="container_number" dataDxfId="0"/>
    <tableColumn id="3" name="plugged_status" dataDxfId="0"/>
    <tableColumn id="4" name="date_out" dataDxfId="1"/>
    <tableColumn id="5" name="exit_time" dataDxfId="3"/>
    <tableColumn id="6" name="days_on_plug" totalsRowFunction="sum" dataDxfId="6"/>
    <tableColumn id="7" name="set_point" dataDxfId="0"/>
    <tableColumn id="8" name="tonnage" totalsRowFunction="sum" dataDxfId="2"/>
    <tableColumn id="9" name="plugin_price" totalsRowFunction="sum" dataDxfId="2"/>
    <tableColumn id="10" name="monitoring_price" totalsRowFunction="sum" dataDxfId="2"/>
    <tableColumn id="11" name="storage_price" totalsRowFunction="sum" dataDxfId="2"/>
    <tableColumn id="12" name="total_price" totalsRowFunction="sum" dataDxfId="2"/>
    <tableColumn id="13" name="remark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18" totalsRowCount="1">
  <autoFilter ref="A1:L17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3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>
        <v>16</v>
      </c>
      <c r="D7" s="6" t="s">
        <v>6</v>
      </c>
    </row>
    <row r="8" spans="2:4">
      <c r="B8" s="7" t="s">
        <v>8</v>
      </c>
      <c r="C8" s="5">
        <v>16</v>
      </c>
      <c r="D8" s="6" t="s">
        <v>6</v>
      </c>
    </row>
    <row r="10" spans="2:4">
      <c r="B10" s="4" t="s">
        <v>9</v>
      </c>
      <c r="C10" s="5">
        <v>4</v>
      </c>
      <c r="D10" s="6" t="s">
        <v>10</v>
      </c>
    </row>
    <row r="11" spans="2:4">
      <c r="B11" s="4" t="s">
        <v>11</v>
      </c>
      <c r="C11" s="5">
        <v>14</v>
      </c>
      <c r="D11" s="6" t="s">
        <v>12</v>
      </c>
    </row>
    <row r="12" spans="2:4">
      <c r="B12" s="4" t="s">
        <v>13</v>
      </c>
      <c r="C12" s="5">
        <v>155</v>
      </c>
      <c r="D12" s="6" t="s">
        <v>14</v>
      </c>
    </row>
    <row r="14" spans="2:4">
      <c r="B14" s="7" t="s">
        <v>15</v>
      </c>
      <c r="C14" s="8">
        <v>342.175</v>
      </c>
      <c r="D14" s="6" t="s">
        <v>16</v>
      </c>
    </row>
    <row r="17" spans="2:7">
      <c r="B17" s="9" t="s">
        <v>17</v>
      </c>
      <c r="D17" s="10" t="s">
        <v>18</v>
      </c>
      <c r="E17" s="10"/>
      <c r="F17" s="10" t="s">
        <v>19</v>
      </c>
      <c r="G17" s="10"/>
    </row>
    <row r="18" spans="2:7">
      <c r="B18" s="11" t="s">
        <v>20</v>
      </c>
      <c r="C18" s="4" t="s">
        <v>21</v>
      </c>
      <c r="D18" s="12" t="s">
        <v>22</v>
      </c>
      <c r="E18" s="13">
        <v>90</v>
      </c>
      <c r="F18" s="12" t="s">
        <v>22</v>
      </c>
      <c r="G18" s="13">
        <v>1530</v>
      </c>
    </row>
    <row r="20" spans="2:7">
      <c r="B20" s="11" t="s">
        <v>23</v>
      </c>
      <c r="C20" s="4" t="s">
        <v>24</v>
      </c>
      <c r="D20" s="12" t="s">
        <v>22</v>
      </c>
      <c r="E20" s="13">
        <v>70</v>
      </c>
      <c r="F20" s="12" t="s">
        <v>22</v>
      </c>
      <c r="G20" s="13">
        <v>9100</v>
      </c>
    </row>
    <row r="21" spans="2:7">
      <c r="B21" s="11"/>
      <c r="C21" s="4" t="s">
        <v>25</v>
      </c>
      <c r="D21" s="12" t="s">
        <v>22</v>
      </c>
      <c r="E21" s="13">
        <v>100</v>
      </c>
      <c r="F21" s="12" t="s">
        <v>22</v>
      </c>
      <c r="G21" s="13">
        <v>2500</v>
      </c>
    </row>
    <row r="22" spans="2:7">
      <c r="B22" s="11"/>
      <c r="C22" s="4" t="s">
        <v>26</v>
      </c>
      <c r="D22" s="12" t="s">
        <v>22</v>
      </c>
      <c r="E22" s="13">
        <v>110</v>
      </c>
      <c r="F22" s="12" t="s">
        <v>22</v>
      </c>
      <c r="G22" s="13" t="s">
        <v>5</v>
      </c>
    </row>
    <row r="24" spans="2:7">
      <c r="B24" s="11" t="s">
        <v>27</v>
      </c>
      <c r="C24" s="4"/>
      <c r="D24" s="12" t="s">
        <v>22</v>
      </c>
      <c r="E24" s="13">
        <v>25</v>
      </c>
      <c r="F24" s="12" t="s">
        <v>22</v>
      </c>
      <c r="G24" s="13">
        <v>350</v>
      </c>
    </row>
    <row r="26" spans="2:7">
      <c r="B26" s="11" t="s">
        <v>28</v>
      </c>
      <c r="C26" s="4"/>
      <c r="D26" s="12" t="s">
        <v>22</v>
      </c>
      <c r="E26" s="13">
        <v>30</v>
      </c>
      <c r="F26" s="12" t="s">
        <v>22</v>
      </c>
      <c r="G26" s="13">
        <v>570</v>
      </c>
    </row>
    <row r="28" spans="2:7">
      <c r="B28" s="11" t="s">
        <v>29</v>
      </c>
      <c r="C28" s="4" t="s">
        <v>30</v>
      </c>
      <c r="D28" s="12" t="s">
        <v>22</v>
      </c>
      <c r="E28" s="13">
        <v>26.5</v>
      </c>
      <c r="F28" s="12" t="s">
        <v>22</v>
      </c>
      <c r="G28" s="13">
        <v>7689.43</v>
      </c>
    </row>
    <row r="29" spans="2:7">
      <c r="B29" s="11"/>
      <c r="C29" s="4" t="s">
        <v>31</v>
      </c>
      <c r="D29" s="12" t="s">
        <v>22</v>
      </c>
      <c r="E29" s="13">
        <v>25.5</v>
      </c>
      <c r="F29" s="12" t="s">
        <v>22</v>
      </c>
      <c r="G29" s="13">
        <v>1326.2</v>
      </c>
    </row>
    <row r="30" spans="2:7">
      <c r="B30" s="11"/>
      <c r="C30" s="4" t="s">
        <v>32</v>
      </c>
      <c r="D30" s="12" t="s">
        <v>22</v>
      </c>
      <c r="E30" s="13">
        <v>30</v>
      </c>
      <c r="F30" s="12" t="s">
        <v>22</v>
      </c>
      <c r="G30" s="13" t="s">
        <v>5</v>
      </c>
    </row>
    <row r="31" spans="2:7">
      <c r="B31" s="11"/>
      <c r="C31" s="4" t="s">
        <v>33</v>
      </c>
      <c r="D31" s="12" t="s">
        <v>22</v>
      </c>
      <c r="E31" s="13">
        <v>135</v>
      </c>
      <c r="F31" s="12" t="s">
        <v>22</v>
      </c>
      <c r="G31" s="13">
        <v>540</v>
      </c>
    </row>
    <row r="33" spans="6:7">
      <c r="F33" s="14" t="s">
        <v>22</v>
      </c>
      <c r="G33" s="15">
        <v>23605.63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12.7109375" customWidth="1"/>
    <col min="5" max="5" width="26.7109375" customWidth="1"/>
    <col min="6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</row>
    <row r="2" spans="1:9">
      <c r="A2" s="17" t="s">
        <v>43</v>
      </c>
      <c r="B2" s="18">
        <v>46114</v>
      </c>
      <c r="C2" s="17" t="s">
        <v>44</v>
      </c>
      <c r="D2" s="17" t="s">
        <v>45</v>
      </c>
      <c r="E2" s="17" t="s">
        <v>46</v>
      </c>
      <c r="F2" s="19">
        <v>26.006</v>
      </c>
      <c r="G2" s="19">
        <v>0</v>
      </c>
      <c r="H2" s="19">
        <v>25.5</v>
      </c>
      <c r="I2" s="17">
        <v>663.153</v>
      </c>
    </row>
    <row r="3" spans="1:9">
      <c r="A3" s="17" t="s">
        <v>43</v>
      </c>
      <c r="B3" s="18">
        <v>46114</v>
      </c>
      <c r="C3" s="17" t="s">
        <v>47</v>
      </c>
      <c r="D3" s="17" t="s">
        <v>45</v>
      </c>
      <c r="E3" s="17" t="s">
        <v>46</v>
      </c>
      <c r="F3" s="19">
        <v>26.002</v>
      </c>
      <c r="G3" s="19">
        <v>0</v>
      </c>
      <c r="H3" s="19">
        <v>25.5</v>
      </c>
      <c r="I3" s="17">
        <v>663.051</v>
      </c>
    </row>
    <row r="4" spans="1:9">
      <c r="A4" s="17" t="s">
        <v>48</v>
      </c>
      <c r="B4" s="18">
        <v>46119</v>
      </c>
      <c r="C4" s="17" t="s">
        <v>49</v>
      </c>
      <c r="D4" s="17" t="s">
        <v>45</v>
      </c>
      <c r="E4" s="17" t="s">
        <v>50</v>
      </c>
      <c r="F4" s="19">
        <v>26.106</v>
      </c>
      <c r="G4" s="19">
        <v>0</v>
      </c>
      <c r="H4" s="19">
        <v>26.5</v>
      </c>
      <c r="I4" s="17">
        <v>691.809</v>
      </c>
    </row>
    <row r="5" spans="1:9">
      <c r="A5" s="17" t="s">
        <v>51</v>
      </c>
      <c r="B5" s="18">
        <v>46120</v>
      </c>
      <c r="C5" s="17" t="s">
        <v>52</v>
      </c>
      <c r="D5" s="17" t="s">
        <v>45</v>
      </c>
      <c r="E5" s="17" t="s">
        <v>50</v>
      </c>
      <c r="F5" s="19">
        <v>26</v>
      </c>
      <c r="G5" s="19">
        <v>0</v>
      </c>
      <c r="H5" s="19">
        <v>26.5</v>
      </c>
      <c r="I5" s="17">
        <v>689.000</v>
      </c>
    </row>
    <row r="6" spans="1:9">
      <c r="A6" s="17" t="s">
        <v>51</v>
      </c>
      <c r="B6" s="18">
        <v>46120</v>
      </c>
      <c r="C6" s="17" t="s">
        <v>53</v>
      </c>
      <c r="D6" s="17" t="s">
        <v>45</v>
      </c>
      <c r="E6" s="17" t="s">
        <v>50</v>
      </c>
      <c r="F6" s="19">
        <v>26</v>
      </c>
      <c r="G6" s="19">
        <v>0</v>
      </c>
      <c r="H6" s="19">
        <v>26.5</v>
      </c>
      <c r="I6" s="17">
        <v>689.000</v>
      </c>
    </row>
    <row r="7" spans="1:9">
      <c r="A7" s="17" t="s">
        <v>51</v>
      </c>
      <c r="B7" s="18">
        <v>46120</v>
      </c>
      <c r="C7" s="17" t="s">
        <v>54</v>
      </c>
      <c r="D7" s="17" t="s">
        <v>45</v>
      </c>
      <c r="E7" s="17" t="s">
        <v>50</v>
      </c>
      <c r="F7" s="19">
        <v>26</v>
      </c>
      <c r="G7" s="19">
        <v>0</v>
      </c>
      <c r="H7" s="19">
        <v>26.5</v>
      </c>
      <c r="I7" s="17">
        <v>689.000</v>
      </c>
    </row>
    <row r="8" spans="1:9">
      <c r="A8" s="17" t="s">
        <v>51</v>
      </c>
      <c r="B8" s="18">
        <v>46120</v>
      </c>
      <c r="C8" s="17" t="s">
        <v>55</v>
      </c>
      <c r="D8" s="17" t="s">
        <v>45</v>
      </c>
      <c r="E8" s="17" t="s">
        <v>50</v>
      </c>
      <c r="F8" s="19">
        <v>26</v>
      </c>
      <c r="G8" s="19">
        <v>0</v>
      </c>
      <c r="H8" s="19">
        <v>26.5</v>
      </c>
      <c r="I8" s="17">
        <v>689.000</v>
      </c>
    </row>
    <row r="9" spans="1:9">
      <c r="A9" s="17" t="s">
        <v>51</v>
      </c>
      <c r="B9" s="18">
        <v>46120</v>
      </c>
      <c r="C9" s="17" t="s">
        <v>56</v>
      </c>
      <c r="D9" s="17" t="s">
        <v>45</v>
      </c>
      <c r="E9" s="17" t="s">
        <v>50</v>
      </c>
      <c r="F9" s="19">
        <v>26</v>
      </c>
      <c r="G9" s="19">
        <v>0</v>
      </c>
      <c r="H9" s="19">
        <v>26.5</v>
      </c>
      <c r="I9" s="17">
        <v>689.000</v>
      </c>
    </row>
    <row r="10" spans="1:9">
      <c r="A10" s="17" t="s">
        <v>57</v>
      </c>
      <c r="B10" s="18">
        <v>46122</v>
      </c>
      <c r="C10" s="17" t="s">
        <v>58</v>
      </c>
      <c r="D10" s="17" t="s">
        <v>45</v>
      </c>
      <c r="E10" s="17" t="s">
        <v>50</v>
      </c>
      <c r="F10" s="19">
        <v>7.203</v>
      </c>
      <c r="G10" s="19">
        <v>0</v>
      </c>
      <c r="H10" s="19">
        <v>26.5</v>
      </c>
      <c r="I10" s="17">
        <v>190.880</v>
      </c>
    </row>
    <row r="11" spans="1:9">
      <c r="A11" s="17" t="s">
        <v>48</v>
      </c>
      <c r="B11" s="18">
        <v>46126</v>
      </c>
      <c r="C11" s="17" t="s">
        <v>59</v>
      </c>
      <c r="D11" s="17" t="s">
        <v>45</v>
      </c>
      <c r="E11" s="17" t="s">
        <v>50</v>
      </c>
      <c r="F11" s="19">
        <v>26.035</v>
      </c>
      <c r="G11" s="19">
        <v>0</v>
      </c>
      <c r="H11" s="19">
        <v>26.5</v>
      </c>
      <c r="I11" s="17">
        <v>689.928</v>
      </c>
    </row>
    <row r="12" spans="1:9">
      <c r="A12" s="17" t="s">
        <v>48</v>
      </c>
      <c r="B12" s="18">
        <v>46126</v>
      </c>
      <c r="C12" s="17" t="s">
        <v>60</v>
      </c>
      <c r="D12" s="17" t="s">
        <v>45</v>
      </c>
      <c r="E12" s="17" t="s">
        <v>50</v>
      </c>
      <c r="F12" s="19">
        <v>26.037</v>
      </c>
      <c r="G12" s="19">
        <v>0</v>
      </c>
      <c r="H12" s="19">
        <v>26.5</v>
      </c>
      <c r="I12" s="17">
        <v>689.981</v>
      </c>
    </row>
    <row r="13" spans="1:9">
      <c r="A13" s="17" t="s">
        <v>48</v>
      </c>
      <c r="B13" s="18">
        <v>46126</v>
      </c>
      <c r="C13" s="17" t="s">
        <v>61</v>
      </c>
      <c r="D13" s="17" t="s">
        <v>45</v>
      </c>
      <c r="E13" s="17" t="s">
        <v>50</v>
      </c>
      <c r="F13" s="19">
        <v>24.912</v>
      </c>
      <c r="G13" s="19">
        <v>0</v>
      </c>
      <c r="H13" s="19">
        <v>26.5</v>
      </c>
      <c r="I13" s="17">
        <v>660.168</v>
      </c>
    </row>
    <row r="14" spans="1:9">
      <c r="A14" s="17" t="s">
        <v>48</v>
      </c>
      <c r="B14" s="18">
        <v>46126</v>
      </c>
      <c r="C14" s="17" t="s">
        <v>62</v>
      </c>
      <c r="D14" s="17" t="s">
        <v>45</v>
      </c>
      <c r="E14" s="17" t="s">
        <v>50</v>
      </c>
      <c r="F14" s="19">
        <v>24.973</v>
      </c>
      <c r="G14" s="19">
        <v>0</v>
      </c>
      <c r="H14" s="19">
        <v>26.5</v>
      </c>
      <c r="I14" s="17">
        <v>661.785</v>
      </c>
    </row>
    <row r="15" spans="1:9">
      <c r="A15" s="17" t="s">
        <v>48</v>
      </c>
      <c r="B15" s="18">
        <v>46126</v>
      </c>
      <c r="C15" s="17" t="s">
        <v>63</v>
      </c>
      <c r="D15" s="17" t="s">
        <v>45</v>
      </c>
      <c r="E15" s="17" t="s">
        <v>50</v>
      </c>
      <c r="F15" s="19">
        <v>24.901</v>
      </c>
      <c r="G15" s="19">
        <v>0</v>
      </c>
      <c r="H15" s="19">
        <v>26.5</v>
      </c>
      <c r="I15" s="17">
        <v>659.877</v>
      </c>
    </row>
    <row r="16" spans="1:9">
      <c r="F16" s="19">
        <f>SUBTOTAL(109,[total_tonnage])</f>
        <v>0</v>
      </c>
      <c r="G16" s="19">
        <f>SUBTOTAL(109,[overtime_tonnage])</f>
        <v>0</v>
      </c>
      <c r="H16" s="19">
        <f>SUBTOTAL(109,[unit_price])</f>
        <v>0</v>
      </c>
      <c r="I16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0.7109375" customWidth="1"/>
    <col min="5" max="5" width="7.7109375" customWidth="1"/>
    <col min="6" max="6" width="16.7109375" customWidth="1"/>
    <col min="7" max="7" width="12.7109375" customWidth="1"/>
    <col min="8" max="8" width="10.7109375" customWidth="1"/>
    <col min="9" max="9" width="12.7109375" customWidth="1"/>
    <col min="10" max="10" width="13.7109375" customWidth="1"/>
  </cols>
  <sheetData>
    <row r="1" spans="1:10" ht="24" customHeight="1">
      <c r="A1" s="20" t="s">
        <v>34</v>
      </c>
      <c r="B1" s="20" t="s">
        <v>35</v>
      </c>
      <c r="C1" s="20" t="s">
        <v>64</v>
      </c>
      <c r="D1" s="20" t="s">
        <v>65</v>
      </c>
      <c r="E1" s="20" t="s">
        <v>66</v>
      </c>
      <c r="F1" s="20" t="s">
        <v>67</v>
      </c>
      <c r="G1" s="20" t="s">
        <v>37</v>
      </c>
      <c r="H1" s="20" t="s">
        <v>68</v>
      </c>
      <c r="I1" s="20" t="s">
        <v>41</v>
      </c>
      <c r="J1" s="20" t="s">
        <v>42</v>
      </c>
    </row>
    <row r="2" spans="1:10">
      <c r="A2" s="17" t="s">
        <v>43</v>
      </c>
      <c r="B2" s="18">
        <v>46114</v>
      </c>
      <c r="C2" s="21">
        <v>0.5506944444444445</v>
      </c>
      <c r="D2" s="17" t="s">
        <v>69</v>
      </c>
      <c r="E2" s="22">
        <v>4</v>
      </c>
      <c r="F2" s="22">
        <v>0</v>
      </c>
      <c r="G2" s="17" t="s">
        <v>45</v>
      </c>
      <c r="H2" s="17" t="s">
        <v>70</v>
      </c>
      <c r="I2" s="19">
        <v>135</v>
      </c>
      <c r="J2" s="17">
        <v>540</v>
      </c>
    </row>
    <row r="3" spans="1:10">
      <c r="E3" s="22">
        <f>SUBTOTAL(109,[hours])</f>
        <v>0</v>
      </c>
      <c r="F3" s="22">
        <f>SUBTOTAL(109,[overtime_hours])</f>
        <v>0</v>
      </c>
      <c r="I3" s="19">
        <f>SUBTOTAL(109,[unit_price])</f>
        <v>0</v>
      </c>
      <c r="J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6.7109375" customWidth="1"/>
    <col min="4" max="4" width="12.7109375" customWidth="1"/>
    <col min="5" max="5" width="11.7109375" customWidth="1"/>
    <col min="6" max="6" width="14.7109375" customWidth="1"/>
    <col min="7" max="7" width="11.7109375" customWidth="1"/>
    <col min="8" max="8" width="9.7109375" customWidth="1"/>
    <col min="9" max="9" width="14.7109375" customWidth="1"/>
    <col min="10" max="10" width="18.7109375" customWidth="1"/>
    <col min="11" max="11" width="15.7109375" customWidth="1"/>
    <col min="12" max="12" width="13.7109375" customWidth="1"/>
    <col min="13" max="13" width="9.7109375" customWidth="1"/>
  </cols>
  <sheetData>
    <row r="1" spans="1:13" ht="24" customHeight="1">
      <c r="A1" s="23" t="s">
        <v>71</v>
      </c>
      <c r="B1" s="23" t="s">
        <v>36</v>
      </c>
      <c r="C1" s="23" t="s">
        <v>72</v>
      </c>
      <c r="D1" s="23" t="s">
        <v>73</v>
      </c>
      <c r="E1" s="23" t="s">
        <v>74</v>
      </c>
      <c r="F1" s="23" t="s">
        <v>75</v>
      </c>
      <c r="G1" s="23" t="s">
        <v>76</v>
      </c>
      <c r="H1" s="23" t="s">
        <v>77</v>
      </c>
      <c r="I1" s="23" t="s">
        <v>78</v>
      </c>
      <c r="J1" s="23" t="s">
        <v>79</v>
      </c>
      <c r="K1" s="23" t="s">
        <v>80</v>
      </c>
      <c r="L1" s="23" t="s">
        <v>42</v>
      </c>
      <c r="M1" s="23" t="s">
        <v>81</v>
      </c>
    </row>
    <row r="2" spans="1:13">
      <c r="A2" s="24">
        <v>46111.69652777778</v>
      </c>
      <c r="B2" s="17" t="s">
        <v>82</v>
      </c>
      <c r="C2" s="17" t="s">
        <v>83</v>
      </c>
      <c r="D2" s="18">
        <v>46121</v>
      </c>
      <c r="E2" s="21">
        <v>0.6034722222222222</v>
      </c>
      <c r="F2" s="25">
        <v>9</v>
      </c>
      <c r="G2" s="17" t="s">
        <v>24</v>
      </c>
      <c r="H2" s="19">
        <v>0</v>
      </c>
      <c r="I2" s="19">
        <v>0</v>
      </c>
      <c r="J2" s="19">
        <v>30</v>
      </c>
      <c r="K2" s="19">
        <v>630</v>
      </c>
      <c r="L2" s="19">
        <v>660</v>
      </c>
      <c r="M2" s="17"/>
    </row>
    <row r="3" spans="1:13">
      <c r="A3" s="24">
        <v>46112.43819444445</v>
      </c>
      <c r="B3" s="17" t="s">
        <v>84</v>
      </c>
      <c r="C3" s="17" t="s">
        <v>85</v>
      </c>
      <c r="D3" s="18">
        <v>46121</v>
      </c>
      <c r="E3" s="21">
        <v>0.6006944444444444</v>
      </c>
      <c r="F3" s="25">
        <v>9</v>
      </c>
      <c r="G3" s="17" t="s">
        <v>24</v>
      </c>
      <c r="H3" s="19">
        <v>0</v>
      </c>
      <c r="I3" s="19">
        <v>0</v>
      </c>
      <c r="J3" s="19">
        <v>30</v>
      </c>
      <c r="K3" s="19">
        <v>630</v>
      </c>
      <c r="L3" s="19">
        <v>660</v>
      </c>
      <c r="M3" s="17"/>
    </row>
    <row r="4" spans="1:13">
      <c r="A4" s="24">
        <v>46112.52569444444</v>
      </c>
      <c r="B4" s="17" t="s">
        <v>86</v>
      </c>
      <c r="C4" s="17" t="s">
        <v>83</v>
      </c>
      <c r="D4" s="18">
        <v>46121</v>
      </c>
      <c r="E4" s="21">
        <v>0.6</v>
      </c>
      <c r="F4" s="25">
        <v>9</v>
      </c>
      <c r="G4" s="17" t="s">
        <v>24</v>
      </c>
      <c r="H4" s="19">
        <v>0</v>
      </c>
      <c r="I4" s="19">
        <v>0</v>
      </c>
      <c r="J4" s="19">
        <v>30</v>
      </c>
      <c r="K4" s="19">
        <v>630</v>
      </c>
      <c r="L4" s="19">
        <v>660</v>
      </c>
      <c r="M4" s="17"/>
    </row>
    <row r="5" spans="1:13">
      <c r="A5" s="24">
        <v>46114.70694444444</v>
      </c>
      <c r="B5" s="17" t="s">
        <v>44</v>
      </c>
      <c r="C5" s="17" t="s">
        <v>83</v>
      </c>
      <c r="D5" s="18">
        <v>46121</v>
      </c>
      <c r="E5" s="21">
        <v>0.4791666666666667</v>
      </c>
      <c r="F5" s="25">
        <v>8</v>
      </c>
      <c r="G5" s="17" t="s">
        <v>24</v>
      </c>
      <c r="H5" s="19">
        <v>26.006</v>
      </c>
      <c r="I5" s="19">
        <v>25</v>
      </c>
      <c r="J5" s="19">
        <v>30</v>
      </c>
      <c r="K5" s="19">
        <v>560</v>
      </c>
      <c r="L5" s="19">
        <v>615</v>
      </c>
      <c r="M5" s="17"/>
    </row>
    <row r="6" spans="1:13">
      <c r="A6" s="24">
        <v>46114.65416666667</v>
      </c>
      <c r="B6" s="17" t="s">
        <v>47</v>
      </c>
      <c r="C6" s="17" t="s">
        <v>83</v>
      </c>
      <c r="D6" s="18">
        <v>46121</v>
      </c>
      <c r="E6" s="21">
        <v>0.5715277777777777</v>
      </c>
      <c r="F6" s="25">
        <v>8</v>
      </c>
      <c r="G6" s="17" t="s">
        <v>24</v>
      </c>
      <c r="H6" s="19">
        <v>26.002</v>
      </c>
      <c r="I6" s="19">
        <v>25</v>
      </c>
      <c r="J6" s="19">
        <v>30</v>
      </c>
      <c r="K6" s="19">
        <v>560</v>
      </c>
      <c r="L6" s="19">
        <v>615</v>
      </c>
      <c r="M6" s="17"/>
    </row>
    <row r="7" spans="1:13">
      <c r="A7" s="24">
        <v>46119.71527777778</v>
      </c>
      <c r="B7" s="17" t="s">
        <v>49</v>
      </c>
      <c r="C7" s="17" t="s">
        <v>83</v>
      </c>
      <c r="D7" s="18">
        <v>46126</v>
      </c>
      <c r="E7" s="21">
        <v>0.4013888888888889</v>
      </c>
      <c r="F7" s="25">
        <v>8</v>
      </c>
      <c r="G7" s="17" t="s">
        <v>24</v>
      </c>
      <c r="H7" s="19">
        <v>26.106</v>
      </c>
      <c r="I7" s="19">
        <v>25</v>
      </c>
      <c r="J7" s="19">
        <v>30</v>
      </c>
      <c r="K7" s="19">
        <v>560</v>
      </c>
      <c r="L7" s="19">
        <v>615</v>
      </c>
      <c r="M7" s="17"/>
    </row>
    <row r="8" spans="1:13">
      <c r="A8" s="24">
        <v>46120.56111111111</v>
      </c>
      <c r="B8" s="17" t="s">
        <v>52</v>
      </c>
      <c r="C8" s="17" t="s">
        <v>83</v>
      </c>
      <c r="D8" s="18">
        <v>46126</v>
      </c>
      <c r="E8" s="21">
        <v>0.6145833333333334</v>
      </c>
      <c r="F8" s="25">
        <v>7</v>
      </c>
      <c r="G8" s="17" t="s">
        <v>24</v>
      </c>
      <c r="H8" s="19">
        <v>26</v>
      </c>
      <c r="I8" s="19">
        <v>25</v>
      </c>
      <c r="J8" s="19">
        <v>30</v>
      </c>
      <c r="K8" s="19">
        <v>490</v>
      </c>
      <c r="L8" s="19">
        <v>545</v>
      </c>
      <c r="M8" s="17"/>
    </row>
    <row r="9" spans="1:13">
      <c r="A9" s="24">
        <v>46120.40347222222</v>
      </c>
      <c r="B9" s="17" t="s">
        <v>53</v>
      </c>
      <c r="C9" s="17" t="s">
        <v>83</v>
      </c>
      <c r="D9" s="18">
        <v>46127</v>
      </c>
      <c r="E9" s="21">
        <v>0.7222222222222222</v>
      </c>
      <c r="F9" s="25">
        <v>8</v>
      </c>
      <c r="G9" s="17" t="s">
        <v>24</v>
      </c>
      <c r="H9" s="19">
        <v>26</v>
      </c>
      <c r="I9" s="19">
        <v>25</v>
      </c>
      <c r="J9" s="19">
        <v>30</v>
      </c>
      <c r="K9" s="19">
        <v>560</v>
      </c>
      <c r="L9" s="19">
        <v>615</v>
      </c>
      <c r="M9" s="17"/>
    </row>
    <row r="10" spans="1:13">
      <c r="A10" s="24">
        <v>46120.45138888889</v>
      </c>
      <c r="B10" s="17" t="s">
        <v>54</v>
      </c>
      <c r="C10" s="17" t="s">
        <v>83</v>
      </c>
      <c r="D10" s="18">
        <v>46127</v>
      </c>
      <c r="E10" s="21">
        <v>0.3506944444444444</v>
      </c>
      <c r="F10" s="25">
        <v>8</v>
      </c>
      <c r="G10" s="17" t="s">
        <v>24</v>
      </c>
      <c r="H10" s="19">
        <v>26</v>
      </c>
      <c r="I10" s="19">
        <v>25</v>
      </c>
      <c r="J10" s="19">
        <v>30</v>
      </c>
      <c r="K10" s="19">
        <v>560</v>
      </c>
      <c r="L10" s="19">
        <v>615</v>
      </c>
      <c r="M10" s="17"/>
    </row>
    <row r="11" spans="1:13">
      <c r="A11" s="24">
        <v>46120.62222222222</v>
      </c>
      <c r="B11" s="17" t="s">
        <v>55</v>
      </c>
      <c r="C11" s="17" t="s">
        <v>83</v>
      </c>
      <c r="D11" s="18">
        <v>46127</v>
      </c>
      <c r="E11" s="21">
        <v>0.7361111111111112</v>
      </c>
      <c r="F11" s="25">
        <v>8</v>
      </c>
      <c r="G11" s="17" t="s">
        <v>24</v>
      </c>
      <c r="H11" s="19">
        <v>26</v>
      </c>
      <c r="I11" s="19">
        <v>25</v>
      </c>
      <c r="J11" s="19">
        <v>30</v>
      </c>
      <c r="K11" s="19">
        <v>560</v>
      </c>
      <c r="L11" s="19">
        <v>615</v>
      </c>
      <c r="M11" s="17"/>
    </row>
    <row r="12" spans="1:13">
      <c r="A12" s="24">
        <v>46120.69722222222</v>
      </c>
      <c r="B12" s="17" t="s">
        <v>56</v>
      </c>
      <c r="C12" s="17" t="s">
        <v>83</v>
      </c>
      <c r="D12" s="18">
        <v>46127</v>
      </c>
      <c r="E12" s="21">
        <v>0.6541666666666667</v>
      </c>
      <c r="F12" s="25">
        <v>8</v>
      </c>
      <c r="G12" s="17" t="s">
        <v>24</v>
      </c>
      <c r="H12" s="19">
        <v>26</v>
      </c>
      <c r="I12" s="19">
        <v>25</v>
      </c>
      <c r="J12" s="19">
        <v>30</v>
      </c>
      <c r="K12" s="19">
        <v>560</v>
      </c>
      <c r="L12" s="19">
        <v>615</v>
      </c>
      <c r="M12" s="17"/>
    </row>
    <row r="13" spans="1:13">
      <c r="A13" s="24">
        <v>46126.46875</v>
      </c>
      <c r="B13" s="17" t="s">
        <v>60</v>
      </c>
      <c r="C13" s="17" t="s">
        <v>83</v>
      </c>
      <c r="D13" s="18">
        <v>46133</v>
      </c>
      <c r="E13" s="21">
        <v>0.4</v>
      </c>
      <c r="F13" s="25">
        <v>8</v>
      </c>
      <c r="G13" s="17" t="s">
        <v>24</v>
      </c>
      <c r="H13" s="19">
        <v>26.037</v>
      </c>
      <c r="I13" s="19">
        <v>25</v>
      </c>
      <c r="J13" s="19">
        <v>30</v>
      </c>
      <c r="K13" s="19">
        <v>560</v>
      </c>
      <c r="L13" s="19">
        <v>615</v>
      </c>
      <c r="M13" s="17"/>
    </row>
    <row r="14" spans="1:13">
      <c r="A14" s="24">
        <v>46126.70972222222</v>
      </c>
      <c r="B14" s="17" t="s">
        <v>63</v>
      </c>
      <c r="C14" s="17" t="s">
        <v>83</v>
      </c>
      <c r="D14" s="18">
        <v>46134</v>
      </c>
      <c r="E14" s="21">
        <v>0.5583333333333333</v>
      </c>
      <c r="F14" s="25">
        <v>9</v>
      </c>
      <c r="G14" s="17" t="s">
        <v>25</v>
      </c>
      <c r="H14" s="19">
        <v>24.901</v>
      </c>
      <c r="I14" s="19">
        <v>25</v>
      </c>
      <c r="J14" s="19">
        <v>30</v>
      </c>
      <c r="K14" s="19">
        <v>900</v>
      </c>
      <c r="L14" s="19">
        <v>955</v>
      </c>
      <c r="M14" s="17"/>
    </row>
    <row r="15" spans="1:13">
      <c r="A15" s="24">
        <v>46126.40763888889</v>
      </c>
      <c r="B15" s="17" t="s">
        <v>59</v>
      </c>
      <c r="C15" s="17" t="s">
        <v>83</v>
      </c>
      <c r="D15" s="18">
        <v>46133</v>
      </c>
      <c r="E15" s="21">
        <v>0.4180555555555556</v>
      </c>
      <c r="F15" s="25">
        <v>8</v>
      </c>
      <c r="G15" s="17" t="s">
        <v>24</v>
      </c>
      <c r="H15" s="19">
        <v>26.035</v>
      </c>
      <c r="I15" s="19">
        <v>25</v>
      </c>
      <c r="J15" s="19">
        <v>30</v>
      </c>
      <c r="K15" s="19">
        <v>560</v>
      </c>
      <c r="L15" s="19">
        <v>615</v>
      </c>
      <c r="M15" s="17"/>
    </row>
    <row r="16" spans="1:13">
      <c r="A16" s="24">
        <v>46126.55277777778</v>
      </c>
      <c r="B16" s="17" t="s">
        <v>61</v>
      </c>
      <c r="C16" s="17" t="s">
        <v>83</v>
      </c>
      <c r="D16" s="18">
        <v>46133</v>
      </c>
      <c r="E16" s="21">
        <v>0.3868055555555556</v>
      </c>
      <c r="F16" s="25">
        <v>8</v>
      </c>
      <c r="G16" s="17" t="s">
        <v>25</v>
      </c>
      <c r="H16" s="19">
        <v>24.912</v>
      </c>
      <c r="I16" s="19">
        <v>25</v>
      </c>
      <c r="J16" s="19">
        <v>30</v>
      </c>
      <c r="K16" s="19">
        <v>800</v>
      </c>
      <c r="L16" s="19">
        <v>855</v>
      </c>
      <c r="M16" s="17"/>
    </row>
    <row r="17" spans="1:13">
      <c r="A17" s="24">
        <v>46126.62638888889</v>
      </c>
      <c r="B17" s="17" t="s">
        <v>62</v>
      </c>
      <c r="C17" s="17" t="s">
        <v>83</v>
      </c>
      <c r="D17" s="18">
        <v>46133</v>
      </c>
      <c r="E17" s="21">
        <v>0.3541666666666667</v>
      </c>
      <c r="F17" s="25">
        <v>8</v>
      </c>
      <c r="G17" s="17" t="s">
        <v>25</v>
      </c>
      <c r="H17" s="19">
        <v>24.973</v>
      </c>
      <c r="I17" s="19">
        <v>25</v>
      </c>
      <c r="J17" s="19">
        <v>30</v>
      </c>
      <c r="K17" s="19">
        <v>800</v>
      </c>
      <c r="L17" s="19">
        <v>855</v>
      </c>
      <c r="M17" s="17"/>
    </row>
    <row r="18" spans="1:13">
      <c r="A18" s="24">
        <v>46111.66944444444</v>
      </c>
      <c r="B18" s="17" t="s">
        <v>87</v>
      </c>
      <c r="C18" s="17" t="s">
        <v>85</v>
      </c>
      <c r="D18" s="18">
        <v>46121</v>
      </c>
      <c r="E18" s="21"/>
      <c r="F18" s="25">
        <v>9</v>
      </c>
      <c r="G18" s="17" t="s">
        <v>24</v>
      </c>
      <c r="H18" s="19">
        <v>0</v>
      </c>
      <c r="I18" s="19">
        <v>0</v>
      </c>
      <c r="J18" s="19">
        <v>30</v>
      </c>
      <c r="K18" s="19">
        <v>630</v>
      </c>
      <c r="L18" s="19">
        <v>660</v>
      </c>
      <c r="M18" s="17"/>
    </row>
    <row r="19" spans="1:13">
      <c r="A19" s="24">
        <v>46112.62152777778</v>
      </c>
      <c r="B19" s="17" t="s">
        <v>88</v>
      </c>
      <c r="C19" s="17" t="s">
        <v>85</v>
      </c>
      <c r="D19" s="18">
        <v>46121</v>
      </c>
      <c r="E19" s="21"/>
      <c r="F19" s="25">
        <v>9</v>
      </c>
      <c r="G19" s="17" t="s">
        <v>24</v>
      </c>
      <c r="H19" s="19">
        <v>0</v>
      </c>
      <c r="I19" s="19">
        <v>0</v>
      </c>
      <c r="J19" s="19">
        <v>30</v>
      </c>
      <c r="K19" s="19">
        <v>630</v>
      </c>
      <c r="L19" s="19">
        <v>660</v>
      </c>
      <c r="M19" s="17"/>
    </row>
    <row r="20" spans="1:13">
      <c r="A20" s="24">
        <v>46122.37222222222</v>
      </c>
      <c r="B20" s="17" t="s">
        <v>58</v>
      </c>
      <c r="C20" s="17" t="s">
        <v>85</v>
      </c>
      <c r="D20" s="18">
        <v>46127</v>
      </c>
      <c r="E20" s="21"/>
      <c r="F20" s="25">
        <v>6</v>
      </c>
      <c r="G20" s="17" t="s">
        <v>24</v>
      </c>
      <c r="H20" s="19">
        <v>7.203</v>
      </c>
      <c r="I20" s="19">
        <v>25</v>
      </c>
      <c r="J20" s="19">
        <v>30</v>
      </c>
      <c r="K20" s="19">
        <v>420</v>
      </c>
      <c r="L20" s="19">
        <v>475</v>
      </c>
      <c r="M20" s="17"/>
    </row>
    <row r="21" spans="1:13">
      <c r="F21" s="25">
        <f>SUBTOTAL(109,[days_on_plug])</f>
        <v>0</v>
      </c>
      <c r="H21" s="19">
        <f>SUBTOTAL(109,[tonnage])</f>
        <v>0</v>
      </c>
      <c r="I21" s="19">
        <f>SUBTOTAL(109,[plugin_price])</f>
        <v>0</v>
      </c>
      <c r="J21" s="19">
        <f>SUBTOTAL(109,[monitoring_price])</f>
        <v>0</v>
      </c>
      <c r="K21" s="19">
        <f>SUBTOTAL(109,[storage_price])</f>
        <v>0</v>
      </c>
      <c r="L21" s="19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8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9" width="8.7109375" customWidth="1"/>
    <col min="10" max="10" width="6.7109375" customWidth="1"/>
    <col min="11" max="11" width="12.7109375" customWidth="1"/>
    <col min="12" max="12" width="15.7109375" customWidth="1"/>
  </cols>
  <sheetData>
    <row r="1" spans="1:12" ht="24" customHeight="1">
      <c r="A1" s="26" t="s">
        <v>34</v>
      </c>
      <c r="B1" s="26" t="s">
        <v>36</v>
      </c>
      <c r="C1" s="26" t="s">
        <v>35</v>
      </c>
      <c r="D1" s="26" t="s">
        <v>89</v>
      </c>
      <c r="E1" s="26" t="s">
        <v>90</v>
      </c>
      <c r="F1" s="26" t="s">
        <v>91</v>
      </c>
      <c r="G1" s="26" t="s">
        <v>92</v>
      </c>
      <c r="H1" s="26" t="s">
        <v>93</v>
      </c>
      <c r="I1" s="26" t="s">
        <v>94</v>
      </c>
      <c r="J1" s="26" t="s">
        <v>95</v>
      </c>
      <c r="K1" s="26" t="s">
        <v>37</v>
      </c>
      <c r="L1" s="26" t="s">
        <v>96</v>
      </c>
    </row>
    <row r="2" spans="1:12">
      <c r="A2" s="17" t="s">
        <v>43</v>
      </c>
      <c r="B2" s="17" t="s">
        <v>82</v>
      </c>
      <c r="C2" s="18">
        <v>46121</v>
      </c>
      <c r="D2" s="17" t="s">
        <v>97</v>
      </c>
      <c r="E2" s="17" t="s">
        <v>98</v>
      </c>
      <c r="F2" s="17" t="s">
        <v>83</v>
      </c>
      <c r="G2" s="21">
        <v>0.6034722222222222</v>
      </c>
      <c r="H2" s="17" t="s">
        <v>99</v>
      </c>
      <c r="I2" s="17" t="s">
        <v>100</v>
      </c>
      <c r="J2" s="17" t="s">
        <v>21</v>
      </c>
      <c r="K2" s="17" t="s">
        <v>45</v>
      </c>
      <c r="L2" s="19">
        <v>90</v>
      </c>
    </row>
    <row r="3" spans="1:12">
      <c r="A3" s="17" t="s">
        <v>51</v>
      </c>
      <c r="B3" s="17" t="s">
        <v>53</v>
      </c>
      <c r="C3" s="18">
        <v>46127</v>
      </c>
      <c r="D3" s="17" t="s">
        <v>97</v>
      </c>
      <c r="E3" s="17" t="s">
        <v>98</v>
      </c>
      <c r="F3" s="17" t="s">
        <v>83</v>
      </c>
      <c r="G3" s="21">
        <v>0.7222222222222222</v>
      </c>
      <c r="H3" s="17" t="s">
        <v>99</v>
      </c>
      <c r="I3" s="17" t="s">
        <v>100</v>
      </c>
      <c r="J3" s="17" t="s">
        <v>21</v>
      </c>
      <c r="K3" s="17" t="s">
        <v>45</v>
      </c>
      <c r="L3" s="19">
        <v>135</v>
      </c>
    </row>
    <row r="4" spans="1:12">
      <c r="A4" s="17" t="s">
        <v>51</v>
      </c>
      <c r="B4" s="17" t="s">
        <v>54</v>
      </c>
      <c r="C4" s="18">
        <v>46127</v>
      </c>
      <c r="D4" s="17" t="s">
        <v>97</v>
      </c>
      <c r="E4" s="17" t="s">
        <v>98</v>
      </c>
      <c r="F4" s="17" t="s">
        <v>83</v>
      </c>
      <c r="G4" s="21">
        <v>0.3506944444444444</v>
      </c>
      <c r="H4" s="17" t="s">
        <v>99</v>
      </c>
      <c r="I4" s="17" t="s">
        <v>100</v>
      </c>
      <c r="J4" s="17" t="s">
        <v>21</v>
      </c>
      <c r="K4" s="17" t="s">
        <v>45</v>
      </c>
      <c r="L4" s="19">
        <v>90</v>
      </c>
    </row>
    <row r="5" spans="1:12">
      <c r="A5" s="17" t="s">
        <v>48</v>
      </c>
      <c r="B5" s="17" t="s">
        <v>59</v>
      </c>
      <c r="C5" s="18">
        <v>46133</v>
      </c>
      <c r="D5" s="17" t="s">
        <v>97</v>
      </c>
      <c r="E5" s="17" t="s">
        <v>98</v>
      </c>
      <c r="F5" s="17" t="s">
        <v>83</v>
      </c>
      <c r="G5" s="21">
        <v>0.4180555555555556</v>
      </c>
      <c r="H5" s="17" t="s">
        <v>99</v>
      </c>
      <c r="I5" s="17" t="s">
        <v>100</v>
      </c>
      <c r="J5" s="17" t="s">
        <v>21</v>
      </c>
      <c r="K5" s="17" t="s">
        <v>45</v>
      </c>
      <c r="L5" s="19">
        <v>90</v>
      </c>
    </row>
    <row r="6" spans="1:12">
      <c r="A6" s="17" t="s">
        <v>48</v>
      </c>
      <c r="B6" s="17" t="s">
        <v>61</v>
      </c>
      <c r="C6" s="18">
        <v>46133</v>
      </c>
      <c r="D6" s="17" t="s">
        <v>97</v>
      </c>
      <c r="E6" s="17" t="s">
        <v>98</v>
      </c>
      <c r="F6" s="17" t="s">
        <v>83</v>
      </c>
      <c r="G6" s="21">
        <v>0.3868055555555556</v>
      </c>
      <c r="H6" s="17" t="s">
        <v>99</v>
      </c>
      <c r="I6" s="17" t="s">
        <v>100</v>
      </c>
      <c r="J6" s="17" t="s">
        <v>21</v>
      </c>
      <c r="K6" s="17" t="s">
        <v>45</v>
      </c>
      <c r="L6" s="19">
        <v>90</v>
      </c>
    </row>
    <row r="7" spans="1:12">
      <c r="A7" s="17" t="s">
        <v>43</v>
      </c>
      <c r="B7" s="17" t="s">
        <v>86</v>
      </c>
      <c r="C7" s="18">
        <v>46121</v>
      </c>
      <c r="D7" s="17" t="s">
        <v>97</v>
      </c>
      <c r="E7" s="17" t="s">
        <v>98</v>
      </c>
      <c r="F7" s="17" t="s">
        <v>83</v>
      </c>
      <c r="G7" s="21">
        <v>0.6</v>
      </c>
      <c r="H7" s="17" t="s">
        <v>99</v>
      </c>
      <c r="I7" s="17" t="s">
        <v>100</v>
      </c>
      <c r="J7" s="17" t="s">
        <v>21</v>
      </c>
      <c r="K7" s="17" t="s">
        <v>45</v>
      </c>
      <c r="L7" s="19">
        <v>90</v>
      </c>
    </row>
    <row r="8" spans="1:12">
      <c r="A8" s="17" t="s">
        <v>51</v>
      </c>
      <c r="B8" s="17" t="s">
        <v>55</v>
      </c>
      <c r="C8" s="18">
        <v>46127</v>
      </c>
      <c r="D8" s="17" t="s">
        <v>97</v>
      </c>
      <c r="E8" s="17" t="s">
        <v>98</v>
      </c>
      <c r="F8" s="17" t="s">
        <v>83</v>
      </c>
      <c r="G8" s="21">
        <v>0.7361111111111112</v>
      </c>
      <c r="H8" s="17" t="s">
        <v>99</v>
      </c>
      <c r="I8" s="17" t="s">
        <v>100</v>
      </c>
      <c r="J8" s="17" t="s">
        <v>21</v>
      </c>
      <c r="K8" s="17" t="s">
        <v>45</v>
      </c>
      <c r="L8" s="19">
        <v>135</v>
      </c>
    </row>
    <row r="9" spans="1:12">
      <c r="A9" s="17" t="s">
        <v>48</v>
      </c>
      <c r="B9" s="17" t="s">
        <v>62</v>
      </c>
      <c r="C9" s="18">
        <v>46133</v>
      </c>
      <c r="D9" s="17" t="s">
        <v>97</v>
      </c>
      <c r="E9" s="17" t="s">
        <v>98</v>
      </c>
      <c r="F9" s="17" t="s">
        <v>83</v>
      </c>
      <c r="G9" s="21">
        <v>0.3541666666666667</v>
      </c>
      <c r="H9" s="17" t="s">
        <v>99</v>
      </c>
      <c r="I9" s="17" t="s">
        <v>100</v>
      </c>
      <c r="J9" s="17" t="s">
        <v>21</v>
      </c>
      <c r="K9" s="17" t="s">
        <v>45</v>
      </c>
      <c r="L9" s="19">
        <v>90</v>
      </c>
    </row>
    <row r="10" spans="1:12">
      <c r="A10" s="17" t="s">
        <v>48</v>
      </c>
      <c r="B10" s="17" t="s">
        <v>52</v>
      </c>
      <c r="C10" s="18">
        <v>46126</v>
      </c>
      <c r="D10" s="17" t="s">
        <v>97</v>
      </c>
      <c r="E10" s="17" t="s">
        <v>98</v>
      </c>
      <c r="F10" s="17" t="s">
        <v>83</v>
      </c>
      <c r="G10" s="21">
        <v>0.6145833333333334</v>
      </c>
      <c r="H10" s="17" t="s">
        <v>99</v>
      </c>
      <c r="I10" s="17" t="s">
        <v>100</v>
      </c>
      <c r="J10" s="17" t="s">
        <v>21</v>
      </c>
      <c r="K10" s="17" t="s">
        <v>45</v>
      </c>
      <c r="L10" s="19">
        <v>90</v>
      </c>
    </row>
    <row r="11" spans="1:12">
      <c r="A11" s="17" t="s">
        <v>43</v>
      </c>
      <c r="B11" s="17" t="s">
        <v>44</v>
      </c>
      <c r="C11" s="18">
        <v>46121</v>
      </c>
      <c r="D11" s="17" t="s">
        <v>97</v>
      </c>
      <c r="E11" s="17" t="s">
        <v>98</v>
      </c>
      <c r="F11" s="17" t="s">
        <v>83</v>
      </c>
      <c r="G11" s="21">
        <v>0.4791666666666667</v>
      </c>
      <c r="H11" s="17" t="s">
        <v>99</v>
      </c>
      <c r="I11" s="17" t="s">
        <v>100</v>
      </c>
      <c r="J11" s="17" t="s">
        <v>21</v>
      </c>
      <c r="K11" s="17" t="s">
        <v>45</v>
      </c>
      <c r="L11" s="19">
        <v>90</v>
      </c>
    </row>
    <row r="12" spans="1:12">
      <c r="A12" s="17" t="s">
        <v>48</v>
      </c>
      <c r="B12" s="17" t="s">
        <v>60</v>
      </c>
      <c r="C12" s="18">
        <v>46133</v>
      </c>
      <c r="D12" s="17" t="s">
        <v>97</v>
      </c>
      <c r="E12" s="17" t="s">
        <v>98</v>
      </c>
      <c r="F12" s="17" t="s">
        <v>83</v>
      </c>
      <c r="G12" s="21">
        <v>0.4</v>
      </c>
      <c r="H12" s="17" t="s">
        <v>99</v>
      </c>
      <c r="I12" s="17" t="s">
        <v>100</v>
      </c>
      <c r="J12" s="17" t="s">
        <v>21</v>
      </c>
      <c r="K12" s="17" t="s">
        <v>45</v>
      </c>
      <c r="L12" s="19">
        <v>90</v>
      </c>
    </row>
    <row r="13" spans="1:12">
      <c r="A13" s="17" t="s">
        <v>48</v>
      </c>
      <c r="B13" s="17" t="s">
        <v>49</v>
      </c>
      <c r="C13" s="18">
        <v>46126</v>
      </c>
      <c r="D13" s="17" t="s">
        <v>97</v>
      </c>
      <c r="E13" s="17" t="s">
        <v>98</v>
      </c>
      <c r="F13" s="17" t="s">
        <v>83</v>
      </c>
      <c r="G13" s="21">
        <v>0.4013888888888889</v>
      </c>
      <c r="H13" s="17" t="s">
        <v>99</v>
      </c>
      <c r="I13" s="17" t="s">
        <v>100</v>
      </c>
      <c r="J13" s="17" t="s">
        <v>21</v>
      </c>
      <c r="K13" s="17" t="s">
        <v>45</v>
      </c>
      <c r="L13" s="19">
        <v>90</v>
      </c>
    </row>
    <row r="14" spans="1:12">
      <c r="A14" s="17" t="s">
        <v>51</v>
      </c>
      <c r="B14" s="17" t="s">
        <v>63</v>
      </c>
      <c r="C14" s="18">
        <v>46134</v>
      </c>
      <c r="D14" s="17" t="s">
        <v>97</v>
      </c>
      <c r="E14" s="17" t="s">
        <v>98</v>
      </c>
      <c r="F14" s="17" t="s">
        <v>83</v>
      </c>
      <c r="G14" s="21">
        <v>0.5583333333333333</v>
      </c>
      <c r="H14" s="17" t="s">
        <v>99</v>
      </c>
      <c r="I14" s="17" t="s">
        <v>100</v>
      </c>
      <c r="J14" s="17" t="s">
        <v>21</v>
      </c>
      <c r="K14" s="17" t="s">
        <v>45</v>
      </c>
      <c r="L14" s="19">
        <v>90</v>
      </c>
    </row>
    <row r="15" spans="1:12">
      <c r="A15" s="17" t="s">
        <v>51</v>
      </c>
      <c r="B15" s="17" t="s">
        <v>56</v>
      </c>
      <c r="C15" s="18">
        <v>46127</v>
      </c>
      <c r="D15" s="17" t="s">
        <v>97</v>
      </c>
      <c r="E15" s="17" t="s">
        <v>98</v>
      </c>
      <c r="F15" s="17" t="s">
        <v>83</v>
      </c>
      <c r="G15" s="21">
        <v>0.6541666666666667</v>
      </c>
      <c r="H15" s="17" t="s">
        <v>99</v>
      </c>
      <c r="I15" s="17" t="s">
        <v>100</v>
      </c>
      <c r="J15" s="17" t="s">
        <v>21</v>
      </c>
      <c r="K15" s="17" t="s">
        <v>45</v>
      </c>
      <c r="L15" s="19">
        <v>90</v>
      </c>
    </row>
    <row r="16" spans="1:12">
      <c r="A16" s="17" t="s">
        <v>43</v>
      </c>
      <c r="B16" s="17" t="s">
        <v>84</v>
      </c>
      <c r="C16" s="18">
        <v>46121</v>
      </c>
      <c r="D16" s="17" t="s">
        <v>97</v>
      </c>
      <c r="E16" s="17" t="s">
        <v>98</v>
      </c>
      <c r="F16" s="17" t="s">
        <v>83</v>
      </c>
      <c r="G16" s="21">
        <v>0.6006944444444444</v>
      </c>
      <c r="H16" s="17" t="s">
        <v>99</v>
      </c>
      <c r="I16" s="17" t="s">
        <v>100</v>
      </c>
      <c r="J16" s="17" t="s">
        <v>21</v>
      </c>
      <c r="K16" s="17" t="s">
        <v>45</v>
      </c>
      <c r="L16" s="19">
        <v>90</v>
      </c>
    </row>
    <row r="17" spans="1:12">
      <c r="A17" s="17" t="s">
        <v>43</v>
      </c>
      <c r="B17" s="17" t="s">
        <v>47</v>
      </c>
      <c r="C17" s="18">
        <v>46121</v>
      </c>
      <c r="D17" s="17" t="s">
        <v>97</v>
      </c>
      <c r="E17" s="17" t="s">
        <v>98</v>
      </c>
      <c r="F17" s="17" t="s">
        <v>83</v>
      </c>
      <c r="G17" s="21">
        <v>0.5715277777777777</v>
      </c>
      <c r="H17" s="17" t="s">
        <v>99</v>
      </c>
      <c r="I17" s="17" t="s">
        <v>100</v>
      </c>
      <c r="J17" s="17" t="s">
        <v>21</v>
      </c>
      <c r="K17" s="17" t="s">
        <v>45</v>
      </c>
      <c r="L17" s="19">
        <v>90</v>
      </c>
    </row>
    <row r="18" spans="1:12">
      <c r="L18" s="19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2026-07-18T06:37:43Z</dcterms:created>
  <dcterms:modified xsi:type="dcterms:W3CDTF">2026-07-18T06:37:43Z</dcterms:modified>
</cp:coreProperties>
</file>