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CCCS Container Stuffing" sheetId="2" r:id="rId2"/>
    <sheet name="Shore Crane" sheetId="3" r:id="rId3"/>
    <sheet name="Live Storage" sheetId="4" r:id="rId4"/>
    <sheet name="Transfer" sheetId="5" r:id="rId5"/>
  </sheets>
  <definedNames>
    <definedName name="_xlnm.Print_Area" localSheetId="0">Summary!$A$1:$G$34</definedName>
  </definedNames>
  <calcPr calcId="124519" fullCalcOnLoad="1"/>
</workbook>
</file>

<file path=xl/sharedStrings.xml><?xml version="1.0" encoding="utf-8"?>
<sst xmlns="http://schemas.openxmlformats.org/spreadsheetml/2006/main" count="439" uniqueCount="127">
  <si>
    <t>Date Range:</t>
  </si>
  <si>
    <t>January '26</t>
  </si>
  <si>
    <t>Client:</t>
  </si>
  <si>
    <t>MAERSKLINE - AMIRANTE</t>
  </si>
  <si>
    <t>Haulage Collection</t>
  </si>
  <si>
    <t>-</t>
  </si>
  <si>
    <t>Moves</t>
  </si>
  <si>
    <t>Haulage Delivery</t>
  </si>
  <si>
    <t>Total Moves</t>
  </si>
  <si>
    <t>Hours of Service</t>
  </si>
  <si>
    <t>Hours</t>
  </si>
  <si>
    <t>Total No of Container Stuffed</t>
  </si>
  <si>
    <t>Units</t>
  </si>
  <si>
    <t>No of Days / Storage (Live)</t>
  </si>
  <si>
    <t>Days</t>
  </si>
  <si>
    <t>Total Tonnage (CCCS to Container)</t>
  </si>
  <si>
    <t>Tons</t>
  </si>
  <si>
    <t>Services</t>
  </si>
  <si>
    <t>Unit Price ($)</t>
  </si>
  <si>
    <t>Total ($)</t>
  </si>
  <si>
    <t>Haulage</t>
  </si>
  <si>
    <t>40'</t>
  </si>
  <si>
    <t>$</t>
  </si>
  <si>
    <t>Live Storage</t>
  </si>
  <si>
    <t>-25</t>
  </si>
  <si>
    <t>-35</t>
  </si>
  <si>
    <t>-60</t>
  </si>
  <si>
    <t>Plugin</t>
  </si>
  <si>
    <t>Monitoring</t>
  </si>
  <si>
    <t>CCCS Unloading to Container</t>
  </si>
  <si>
    <t>Stuffing - Static Loader</t>
  </si>
  <si>
    <t>Stuffing - Shore Crane</t>
  </si>
  <si>
    <t>Stuffing - By Hand</t>
  </si>
  <si>
    <t>Crane Rental</t>
  </si>
  <si>
    <t>day_name</t>
  </si>
  <si>
    <t>date</t>
  </si>
  <si>
    <t>container_number</t>
  </si>
  <si>
    <t>customer</t>
  </si>
  <si>
    <t>service</t>
  </si>
  <si>
    <t>total_tonnage</t>
  </si>
  <si>
    <t>overtime_tonnage</t>
  </si>
  <si>
    <t>unit_price</t>
  </si>
  <si>
    <t>total_price</t>
  </si>
  <si>
    <t>Fri</t>
  </si>
  <si>
    <t>MNBU0660266</t>
  </si>
  <si>
    <t>AMIRANTE</t>
  </si>
  <si>
    <t>Shore Crane &amp; Fishloader</t>
  </si>
  <si>
    <t>SUDU8044684</t>
  </si>
  <si>
    <t>SUDU8048550</t>
  </si>
  <si>
    <t>Tue</t>
  </si>
  <si>
    <t>MNBU0383650</t>
  </si>
  <si>
    <t>Static Loader</t>
  </si>
  <si>
    <t>MNBU0557140</t>
  </si>
  <si>
    <t>MNBU0631210</t>
  </si>
  <si>
    <t>SUDU6292341</t>
  </si>
  <si>
    <t>Wed</t>
  </si>
  <si>
    <t>MNBU4444075</t>
  </si>
  <si>
    <t>SUDU8115957</t>
  </si>
  <si>
    <t>Mon</t>
  </si>
  <si>
    <t>MNBU0277880</t>
  </si>
  <si>
    <t>MNBU0296560</t>
  </si>
  <si>
    <t>Sat</t>
  </si>
  <si>
    <t>SUDU8207056</t>
  </si>
  <si>
    <t>MNBU4397570</t>
  </si>
  <si>
    <t>Thu</t>
  </si>
  <si>
    <t>MWCU5322746</t>
  </si>
  <si>
    <t>MNBU0205128</t>
  </si>
  <si>
    <t>MNBU0337377</t>
  </si>
  <si>
    <t>MNBU4347183</t>
  </si>
  <si>
    <t>MNBU3348122</t>
  </si>
  <si>
    <t>MNBU0258257</t>
  </si>
  <si>
    <t>MNBU4526260</t>
  </si>
  <si>
    <t>MNBU3204594</t>
  </si>
  <si>
    <t>MNBU0617486</t>
  </si>
  <si>
    <t>MNBU3160222</t>
  </si>
  <si>
    <t>MNBU0243998</t>
  </si>
  <si>
    <t>MNBU0210335</t>
  </si>
  <si>
    <t>MNBU0050258</t>
  </si>
  <si>
    <t>MNBU0139068</t>
  </si>
  <si>
    <t>SUDU6068007</t>
  </si>
  <si>
    <t>MNBU0482919</t>
  </si>
  <si>
    <t>start_time</t>
  </si>
  <si>
    <t>end_time</t>
  </si>
  <si>
    <t>hours</t>
  </si>
  <si>
    <t>overtime_hours</t>
  </si>
  <si>
    <t>location</t>
  </si>
  <si>
    <t>08:00:00</t>
  </si>
  <si>
    <t>17:00:00</t>
  </si>
  <si>
    <t>NORTH</t>
  </si>
  <si>
    <t>date_plugged</t>
  </si>
  <si>
    <t>plugged_status</t>
  </si>
  <si>
    <t>date_out</t>
  </si>
  <si>
    <t>exit_time</t>
  </si>
  <si>
    <t>days_on_plug</t>
  </si>
  <si>
    <t>set_point</t>
  </si>
  <si>
    <t>tonnage</t>
  </si>
  <si>
    <t>plugin_price</t>
  </si>
  <si>
    <t>monitoring_price</t>
  </si>
  <si>
    <t>storage_price</t>
  </si>
  <si>
    <t>remarks</t>
  </si>
  <si>
    <t>MNBU0425122</t>
  </si>
  <si>
    <t>Full</t>
  </si>
  <si>
    <t>15:07:00</t>
  </si>
  <si>
    <t>MNBU0297715</t>
  </si>
  <si>
    <t>13:00:00</t>
  </si>
  <si>
    <t>MNBU0195441</t>
  </si>
  <si>
    <t>09:53:00</t>
  </si>
  <si>
    <t>13:33:00</t>
  </si>
  <si>
    <t>09:20:00</t>
  </si>
  <si>
    <t>09:50:00</t>
  </si>
  <si>
    <t>Partial</t>
  </si>
  <si>
    <t>14:04:00</t>
  </si>
  <si>
    <t>Completed</t>
  </si>
  <si>
    <t>10:40:00</t>
  </si>
  <si>
    <t>Still On Plug</t>
  </si>
  <si>
    <t>movement_type</t>
  </si>
  <si>
    <t>destination</t>
  </si>
  <si>
    <t>status</t>
  </si>
  <si>
    <t>time_out</t>
  </si>
  <si>
    <t>driver</t>
  </si>
  <si>
    <t>type</t>
  </si>
  <si>
    <t>size</t>
  </si>
  <si>
    <t>haulage_price</t>
  </si>
  <si>
    <t>Delivery</t>
  </si>
  <si>
    <t>LML</t>
  </si>
  <si>
    <t>IPHS</t>
  </si>
  <si>
    <t>Reefer</t>
  </si>
</sst>
</file>

<file path=xl/styles.xml><?xml version="1.0" encoding="utf-8"?>
<styleSheet xmlns="http://schemas.openxmlformats.org/spreadsheetml/2006/main">
  <numFmts count="6">
    <numFmt numFmtId="164" formatCode="#,##0.000"/>
    <numFmt numFmtId="165" formatCode="#,##0.00;[Red]-#,##0.00"/>
    <numFmt numFmtId="166" formatCode="yyyy-mm-dd"/>
    <numFmt numFmtId="167" formatCode="#,##0"/>
    <numFmt numFmtId="168" formatCode="yyyy-mm-dd hh:mm"/>
    <numFmt numFmtId="169" formatCode="#,##0;[Red]-#,##0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000080"/>
      <name val="Calibri"/>
      <family val="2"/>
      <scheme val="minor"/>
    </font>
    <font>
      <sz val="11"/>
      <color rgb="FF00008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35F97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006113"/>
        <bgColor indexed="64"/>
      </patternFill>
    </fill>
    <fill>
      <patternFill patternType="solid">
        <fgColor rgb="FF222B3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2" xfId="0" applyBorder="1" applyAlignment="1">
      <alignment horizontal="center" vertical="center"/>
    </xf>
    <xf numFmtId="165" fontId="6" fillId="0" borderId="3" xfId="0" applyNumberFormat="1" applyFont="1" applyBorder="1" applyAlignment="1">
      <alignment horizontal="right" vertical="center"/>
    </xf>
    <xf numFmtId="0" fontId="1" fillId="0" borderId="4" xfId="0" applyFont="1" applyBorder="1" applyAlignment="1">
      <alignment horizontal="center"/>
    </xf>
    <xf numFmtId="165" fontId="7" fillId="0" borderId="4" xfId="0" applyNumberFormat="1" applyFont="1" applyBorder="1" applyAlignment="1">
      <alignment horizontal="right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166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0" fontId="2" fillId="4" borderId="0" xfId="0" applyFont="1" applyFill="1" applyAlignment="1">
      <alignment horizontal="center" vertical="center" wrapText="1"/>
    </xf>
    <xf numFmtId="167" fontId="0" fillId="0" borderId="0" xfId="0" applyNumberFormat="1" applyAlignment="1">
      <alignment vertical="center"/>
    </xf>
    <xf numFmtId="0" fontId="2" fillId="5" borderId="0" xfId="0" applyFont="1" applyFill="1" applyAlignment="1">
      <alignment horizontal="center" vertical="center" wrapText="1"/>
    </xf>
    <xf numFmtId="168" fontId="0" fillId="0" borderId="0" xfId="0" applyNumberFormat="1" applyAlignment="1">
      <alignment vertical="center"/>
    </xf>
    <xf numFmtId="169" fontId="0" fillId="0" borderId="0" xfId="0" applyNumberFormat="1" applyAlignment="1">
      <alignment vertical="center"/>
    </xf>
    <xf numFmtId="0" fontId="2" fillId="6" borderId="0" xfId="0" applyFont="1" applyFill="1" applyAlignment="1">
      <alignment horizontal="center" vertical="center" wrapText="1"/>
    </xf>
  </cellXfs>
  <cellStyles count="1">
    <cellStyle name="Normal" xfId="0" builtinId="0"/>
  </cellStyles>
  <dxfs count="6">
    <dxf/>
    <dxf>
      <numFmt numFmtId="166" formatCode="yyyy-mm-dd"/>
    </dxf>
    <dxf>
      <numFmt numFmtId="165" formatCode="#,##0.00;[Red]-#,##0.00"/>
    </dxf>
    <dxf>
      <numFmt numFmtId="167" formatCode="#,##0"/>
    </dxf>
    <dxf>
      <numFmt numFmtId="168" formatCode="yyyy-mm-dd hh:mm"/>
    </dxf>
    <dxf>
      <numFmt numFmtId="169" formatCode="#,##0;[Red]-#,##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CCCS_Container_Stuffing_2" displayName="CCCS_Container_Stuffing_2" ref="A1:I33" totalsRowCount="1">
  <autoFilter ref="A1:I32"/>
  <tableColumns count="9">
    <tableColumn id="1" name="day_name" dataDxfId="0"/>
    <tableColumn id="2" name="date" dataDxfId="1"/>
    <tableColumn id="3" name="container_number" dataDxfId="0"/>
    <tableColumn id="4" name="customer" dataDxfId="0"/>
    <tableColumn id="5" name="service" dataDxfId="0"/>
    <tableColumn id="6" name="total_tonnage" totalsRowFunction="sum" dataDxfId="2"/>
    <tableColumn id="7" name="overtime_tonnage" totalsRowFunction="sum" dataDxfId="2"/>
    <tableColumn id="8" name="unit_price" totalsRowFunction="sum" dataDxfId="2"/>
    <tableColumn id="9" name="total_price" totalsRowFunction="sum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Shore_Crane_3" displayName="Shore_Crane_3" ref="A1:J3" totalsRowCount="1">
  <autoFilter ref="A1:J2"/>
  <tableColumns count="10">
    <tableColumn id="1" name="day_name" dataDxfId="0"/>
    <tableColumn id="2" name="date" dataDxfId="1"/>
    <tableColumn id="3" name="start_time" dataDxfId="0"/>
    <tableColumn id="4" name="end_time" dataDxfId="0"/>
    <tableColumn id="5" name="hours" totalsRowFunction="sum" dataDxfId="3"/>
    <tableColumn id="6" name="overtime_hours" totalsRowFunction="sum" dataDxfId="3"/>
    <tableColumn id="7" name="customer" dataDxfId="0"/>
    <tableColumn id="8" name="location" dataDxfId="0"/>
    <tableColumn id="9" name="unit_price" totalsRowFunction="sum" dataDxfId="2"/>
    <tableColumn id="10" name="total_price" totalsRowFunction="sum" dataDxfId="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Live_Storage_4" displayName="Live_Storage_4" ref="A1:M36" totalsRowCount="1">
  <autoFilter ref="A1:M35"/>
  <tableColumns count="13">
    <tableColumn id="1" name="date_plugged" dataDxfId="4"/>
    <tableColumn id="2" name="container_number" dataDxfId="0"/>
    <tableColumn id="3" name="plugged_status" dataDxfId="0"/>
    <tableColumn id="4" name="date_out" dataDxfId="1"/>
    <tableColumn id="5" name="exit_time" dataDxfId="0"/>
    <tableColumn id="6" name="days_on_plug" totalsRowFunction="sum" dataDxfId="5"/>
    <tableColumn id="7" name="set_point" dataDxfId="0"/>
    <tableColumn id="8" name="tonnage" totalsRowFunction="sum" dataDxfId="2"/>
    <tableColumn id="9" name="plugin_price" totalsRowFunction="sum" dataDxfId="2"/>
    <tableColumn id="10" name="monitoring_price" totalsRowFunction="sum" dataDxfId="2"/>
    <tableColumn id="11" name="storage_price" totalsRowFunction="sum" dataDxfId="2"/>
    <tableColumn id="12" name="total_price" totalsRowFunction="sum" dataDxfId="2"/>
    <tableColumn id="13" name="remarks" dataDxfId="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4" name="Transfer_5" displayName="Transfer_5" ref="A1:L10" totalsRowCount="1">
  <autoFilter ref="A1:L9"/>
  <tableColumns count="12">
    <tableColumn id="1" name="day_name" dataDxfId="0"/>
    <tableColumn id="2" name="container_number" dataDxfId="0"/>
    <tableColumn id="3" name="date" dataDxfId="1"/>
    <tableColumn id="4" name="movement_type" dataDxfId="0"/>
    <tableColumn id="5" name="destination" dataDxfId="0"/>
    <tableColumn id="6" name="status" dataDxfId="0"/>
    <tableColumn id="7" name="time_out" dataDxfId="0"/>
    <tableColumn id="8" name="driver" dataDxfId="0"/>
    <tableColumn id="9" name="type" dataDxfId="0"/>
    <tableColumn id="10" name="size" dataDxfId="0"/>
    <tableColumn id="11" name="customer" dataDxfId="0"/>
    <tableColumn id="12" name="haulage_price" totalsRowFunction="sum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B2:G33"/>
  <sheetViews>
    <sheetView showGridLines="0" tabSelected="1" zoomScale="90" zoomScaleNormal="90" workbookViewId="0"/>
  </sheetViews>
  <sheetFormatPr defaultRowHeight="15"/>
  <cols>
    <col min="1" max="1" width="4.7109375" customWidth="1"/>
    <col min="2" max="2" width="30.7109375" customWidth="1"/>
    <col min="3" max="3" width="26.7109375" customWidth="1"/>
    <col min="4" max="4" width="4.7109375" customWidth="1"/>
    <col min="5" max="5" width="11.7109375" customWidth="1"/>
    <col min="6" max="6" width="4.7109375" customWidth="1"/>
    <col min="7" max="7" width="13.7109375" customWidth="1"/>
  </cols>
  <sheetData>
    <row r="2" spans="2:4">
      <c r="B2" s="1" t="s">
        <v>0</v>
      </c>
      <c r="C2" s="2" t="s">
        <v>1</v>
      </c>
    </row>
    <row r="3" spans="2:4" ht="30" customHeight="1">
      <c r="B3" s="1" t="s">
        <v>2</v>
      </c>
      <c r="C3" s="3" t="s">
        <v>3</v>
      </c>
    </row>
    <row r="6" spans="2:4">
      <c r="B6" s="4" t="s">
        <v>4</v>
      </c>
      <c r="C6" s="5" t="s">
        <v>5</v>
      </c>
      <c r="D6" s="6" t="s">
        <v>6</v>
      </c>
    </row>
    <row r="7" spans="2:4">
      <c r="B7" s="4" t="s">
        <v>7</v>
      </c>
      <c r="C7" s="5">
        <v>8</v>
      </c>
      <c r="D7" s="6" t="s">
        <v>6</v>
      </c>
    </row>
    <row r="8" spans="2:4">
      <c r="B8" s="7" t="s">
        <v>8</v>
      </c>
      <c r="C8" s="5">
        <v>8</v>
      </c>
      <c r="D8" s="6" t="s">
        <v>6</v>
      </c>
    </row>
    <row r="10" spans="2:4">
      <c r="B10" s="4" t="s">
        <v>9</v>
      </c>
      <c r="C10" s="5">
        <v>9</v>
      </c>
      <c r="D10" s="6" t="s">
        <v>10</v>
      </c>
    </row>
    <row r="11" spans="2:4">
      <c r="B11" s="4" t="s">
        <v>11</v>
      </c>
      <c r="C11" s="5">
        <v>29</v>
      </c>
      <c r="D11" s="6" t="s">
        <v>12</v>
      </c>
    </row>
    <row r="12" spans="2:4">
      <c r="B12" s="4" t="s">
        <v>13</v>
      </c>
      <c r="C12" s="5">
        <v>284</v>
      </c>
      <c r="D12" s="6" t="s">
        <v>14</v>
      </c>
    </row>
    <row r="14" spans="2:4">
      <c r="B14" s="7" t="s">
        <v>15</v>
      </c>
      <c r="C14" s="8">
        <v>780.8269999999999</v>
      </c>
      <c r="D14" s="6" t="s">
        <v>16</v>
      </c>
    </row>
    <row r="17" spans="2:7">
      <c r="B17" s="9" t="s">
        <v>17</v>
      </c>
      <c r="D17" s="10" t="s">
        <v>18</v>
      </c>
      <c r="E17" s="10"/>
      <c r="F17" s="10" t="s">
        <v>19</v>
      </c>
      <c r="G17" s="10"/>
    </row>
    <row r="18" spans="2:7">
      <c r="B18" s="11" t="s">
        <v>20</v>
      </c>
      <c r="C18" s="4" t="s">
        <v>21</v>
      </c>
      <c r="D18" s="12" t="s">
        <v>22</v>
      </c>
      <c r="E18" s="13">
        <v>90</v>
      </c>
      <c r="F18" s="12" t="s">
        <v>22</v>
      </c>
      <c r="G18" s="13">
        <v>720</v>
      </c>
    </row>
    <row r="19" spans="2:7">
      <c r="D19" s="12"/>
      <c r="E19" s="13"/>
      <c r="F19" s="12"/>
      <c r="G19" s="13"/>
    </row>
    <row r="20" spans="2:7">
      <c r="B20" s="11" t="s">
        <v>23</v>
      </c>
      <c r="C20" s="4" t="s">
        <v>24</v>
      </c>
      <c r="D20" s="12" t="s">
        <v>22</v>
      </c>
      <c r="E20" s="13">
        <v>70</v>
      </c>
      <c r="F20" s="12" t="s">
        <v>22</v>
      </c>
      <c r="G20" s="13">
        <v>19880</v>
      </c>
    </row>
    <row r="21" spans="2:7">
      <c r="B21" s="11"/>
      <c r="C21" s="4" t="s">
        <v>25</v>
      </c>
      <c r="D21" s="12" t="s">
        <v>22</v>
      </c>
      <c r="E21" s="13">
        <v>100</v>
      </c>
      <c r="F21" s="12" t="s">
        <v>22</v>
      </c>
      <c r="G21" s="13" t="s">
        <v>5</v>
      </c>
    </row>
    <row r="22" spans="2:7">
      <c r="B22" s="11"/>
      <c r="C22" s="4" t="s">
        <v>26</v>
      </c>
      <c r="D22" s="12" t="s">
        <v>22</v>
      </c>
      <c r="E22" s="13">
        <v>110</v>
      </c>
      <c r="F22" s="12" t="s">
        <v>22</v>
      </c>
      <c r="G22" s="13" t="s">
        <v>5</v>
      </c>
    </row>
    <row r="23" spans="2:7">
      <c r="D23" s="12"/>
      <c r="E23" s="13"/>
      <c r="F23" s="12"/>
      <c r="G23" s="13"/>
    </row>
    <row r="24" spans="2:7">
      <c r="B24" s="11" t="s">
        <v>27</v>
      </c>
      <c r="C24" s="4"/>
      <c r="D24" s="12" t="s">
        <v>22</v>
      </c>
      <c r="E24" s="13">
        <v>25</v>
      </c>
      <c r="F24" s="12" t="s">
        <v>22</v>
      </c>
      <c r="G24" s="13">
        <v>625</v>
      </c>
    </row>
    <row r="25" spans="2:7">
      <c r="D25" s="12"/>
      <c r="E25" s="13"/>
      <c r="F25" s="12"/>
      <c r="G25" s="13"/>
    </row>
    <row r="26" spans="2:7">
      <c r="B26" s="11" t="s">
        <v>28</v>
      </c>
      <c r="C26" s="4"/>
      <c r="D26" s="12" t="s">
        <v>22</v>
      </c>
      <c r="E26" s="13">
        <v>30</v>
      </c>
      <c r="F26" s="12" t="s">
        <v>22</v>
      </c>
      <c r="G26" s="13">
        <v>300</v>
      </c>
    </row>
    <row r="27" spans="2:7">
      <c r="D27" s="12"/>
      <c r="E27" s="13"/>
      <c r="F27" s="12"/>
      <c r="G27" s="13"/>
    </row>
    <row r="28" spans="2:7">
      <c r="B28" s="11" t="s">
        <v>29</v>
      </c>
      <c r="C28" s="4" t="s">
        <v>30</v>
      </c>
      <c r="D28" s="12" t="s">
        <v>22</v>
      </c>
      <c r="E28" s="13">
        <v>26.5</v>
      </c>
      <c r="F28" s="12" t="s">
        <v>22</v>
      </c>
      <c r="G28" s="13">
        <v>18865.51</v>
      </c>
    </row>
    <row r="29" spans="2:7">
      <c r="B29" s="11"/>
      <c r="C29" s="4" t="s">
        <v>31</v>
      </c>
      <c r="D29" s="12" t="s">
        <v>22</v>
      </c>
      <c r="E29" s="13">
        <v>25.5</v>
      </c>
      <c r="F29" s="12" t="s">
        <v>22</v>
      </c>
      <c r="G29" s="13">
        <v>1757.49</v>
      </c>
    </row>
    <row r="30" spans="2:7">
      <c r="B30" s="11"/>
      <c r="C30" s="4" t="s">
        <v>32</v>
      </c>
      <c r="D30" s="12" t="s">
        <v>22</v>
      </c>
      <c r="E30" s="13">
        <v>30</v>
      </c>
      <c r="F30" s="12" t="s">
        <v>22</v>
      </c>
      <c r="G30" s="13" t="s">
        <v>5</v>
      </c>
    </row>
    <row r="31" spans="2:7">
      <c r="B31" s="11"/>
      <c r="C31" s="4" t="s">
        <v>33</v>
      </c>
      <c r="D31" s="12" t="s">
        <v>22</v>
      </c>
      <c r="E31" s="13">
        <v>135</v>
      </c>
      <c r="F31" s="12" t="s">
        <v>22</v>
      </c>
      <c r="G31" s="13">
        <v>1215</v>
      </c>
    </row>
    <row r="33" spans="6:7">
      <c r="F33" s="14" t="s">
        <v>22</v>
      </c>
      <c r="G33" s="15">
        <v>43363</v>
      </c>
    </row>
  </sheetData>
  <mergeCells count="2">
    <mergeCell ref="D17:E17"/>
    <mergeCell ref="F17:G17"/>
  </mergeCells>
  <printOptions horizontalCentered="1"/>
  <pageMargins left="0.25" right="0.25" top="0.6" bottom="0.6" header="0.3" footer="0.3"/>
  <pageSetup paperSize="9" orientation="portrait"/>
  <headerFooter>
    <oddHeader>&amp;C&amp;B&amp;A</oddHeader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33"/>
  <sheetViews>
    <sheetView showGridLines="0"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3" width="18.7109375" customWidth="1"/>
    <col min="4" max="4" width="10.7109375" customWidth="1"/>
    <col min="5" max="5" width="26.7109375" customWidth="1"/>
    <col min="6" max="6" width="15.7109375" customWidth="1"/>
    <col min="7" max="7" width="18.7109375" customWidth="1"/>
    <col min="8" max="8" width="12.7109375" customWidth="1"/>
    <col min="9" max="9" width="13.7109375" customWidth="1"/>
  </cols>
  <sheetData>
    <row r="1" spans="1:9" ht="24" customHeight="1">
      <c r="A1" s="16" t="s">
        <v>34</v>
      </c>
      <c r="B1" s="16" t="s">
        <v>35</v>
      </c>
      <c r="C1" s="16" t="s">
        <v>36</v>
      </c>
      <c r="D1" s="16" t="s">
        <v>37</v>
      </c>
      <c r="E1" s="16" t="s">
        <v>38</v>
      </c>
      <c r="F1" s="16" t="s">
        <v>39</v>
      </c>
      <c r="G1" s="16" t="s">
        <v>40</v>
      </c>
      <c r="H1" s="16" t="s">
        <v>41</v>
      </c>
      <c r="I1" s="16" t="s">
        <v>42</v>
      </c>
    </row>
    <row r="2" spans="1:9">
      <c r="A2" s="17" t="s">
        <v>43</v>
      </c>
      <c r="B2" s="18">
        <v>46038</v>
      </c>
      <c r="C2" s="17" t="s">
        <v>44</v>
      </c>
      <c r="D2" s="17" t="s">
        <v>45</v>
      </c>
      <c r="E2" s="17" t="s">
        <v>46</v>
      </c>
      <c r="F2" s="19">
        <v>28.562</v>
      </c>
      <c r="G2" s="19">
        <v>0</v>
      </c>
      <c r="H2" s="19">
        <v>25.5</v>
      </c>
      <c r="I2" s="17">
        <v>728.331</v>
      </c>
    </row>
    <row r="3" spans="1:9">
      <c r="A3" s="17" t="s">
        <v>43</v>
      </c>
      <c r="B3" s="18">
        <v>46038</v>
      </c>
      <c r="C3" s="17" t="s">
        <v>47</v>
      </c>
      <c r="D3" s="17" t="s">
        <v>45</v>
      </c>
      <c r="E3" s="17" t="s">
        <v>46</v>
      </c>
      <c r="F3" s="19">
        <v>28.075</v>
      </c>
      <c r="G3" s="19">
        <v>0</v>
      </c>
      <c r="H3" s="19">
        <v>25.5</v>
      </c>
      <c r="I3" s="17">
        <v>715.913</v>
      </c>
    </row>
    <row r="4" spans="1:9">
      <c r="A4" s="17" t="s">
        <v>43</v>
      </c>
      <c r="B4" s="18">
        <v>46038</v>
      </c>
      <c r="C4" s="17" t="s">
        <v>48</v>
      </c>
      <c r="D4" s="17" t="s">
        <v>45</v>
      </c>
      <c r="E4" s="17" t="s">
        <v>46</v>
      </c>
      <c r="F4" s="19">
        <v>12.284</v>
      </c>
      <c r="G4" s="19">
        <v>0</v>
      </c>
      <c r="H4" s="19">
        <v>25.5</v>
      </c>
      <c r="I4" s="17">
        <v>313.242</v>
      </c>
    </row>
    <row r="5" spans="1:9">
      <c r="A5" s="17" t="s">
        <v>49</v>
      </c>
      <c r="B5" s="18">
        <v>46028</v>
      </c>
      <c r="C5" s="17" t="s">
        <v>50</v>
      </c>
      <c r="D5" s="17" t="s">
        <v>45</v>
      </c>
      <c r="E5" s="17" t="s">
        <v>51</v>
      </c>
      <c r="F5" s="19">
        <v>28.561</v>
      </c>
      <c r="G5" s="19">
        <v>0</v>
      </c>
      <c r="H5" s="19">
        <v>26.5</v>
      </c>
      <c r="I5" s="17">
        <v>756.867</v>
      </c>
    </row>
    <row r="6" spans="1:9">
      <c r="A6" s="17" t="s">
        <v>49</v>
      </c>
      <c r="B6" s="18">
        <v>46028</v>
      </c>
      <c r="C6" s="17" t="s">
        <v>52</v>
      </c>
      <c r="D6" s="17" t="s">
        <v>45</v>
      </c>
      <c r="E6" s="17" t="s">
        <v>51</v>
      </c>
      <c r="F6" s="19">
        <v>16.435</v>
      </c>
      <c r="G6" s="19">
        <v>0</v>
      </c>
      <c r="H6" s="19">
        <v>26.5</v>
      </c>
      <c r="I6" s="17">
        <v>435.528</v>
      </c>
    </row>
    <row r="7" spans="1:9">
      <c r="A7" s="17" t="s">
        <v>49</v>
      </c>
      <c r="B7" s="18">
        <v>46028</v>
      </c>
      <c r="C7" s="17" t="s">
        <v>53</v>
      </c>
      <c r="D7" s="17" t="s">
        <v>45</v>
      </c>
      <c r="E7" s="17" t="s">
        <v>51</v>
      </c>
      <c r="F7" s="19">
        <v>28.591</v>
      </c>
      <c r="G7" s="19">
        <v>0</v>
      </c>
      <c r="H7" s="19">
        <v>26.5</v>
      </c>
      <c r="I7" s="17">
        <v>757.662</v>
      </c>
    </row>
    <row r="8" spans="1:9">
      <c r="A8" s="17" t="s">
        <v>49</v>
      </c>
      <c r="B8" s="18">
        <v>46028</v>
      </c>
      <c r="C8" s="17" t="s">
        <v>54</v>
      </c>
      <c r="D8" s="17" t="s">
        <v>45</v>
      </c>
      <c r="E8" s="17" t="s">
        <v>51</v>
      </c>
      <c r="F8" s="19">
        <v>28.791</v>
      </c>
      <c r="G8" s="19">
        <v>0</v>
      </c>
      <c r="H8" s="19">
        <v>26.5</v>
      </c>
      <c r="I8" s="17">
        <v>762.962</v>
      </c>
    </row>
    <row r="9" spans="1:9">
      <c r="A9" s="17" t="s">
        <v>55</v>
      </c>
      <c r="B9" s="18">
        <v>46029</v>
      </c>
      <c r="C9" s="17" t="s">
        <v>52</v>
      </c>
      <c r="D9" s="17" t="s">
        <v>45</v>
      </c>
      <c r="E9" s="17" t="s">
        <v>51</v>
      </c>
      <c r="F9" s="19">
        <v>11.795</v>
      </c>
      <c r="G9" s="19">
        <v>0</v>
      </c>
      <c r="H9" s="19">
        <v>26.5</v>
      </c>
      <c r="I9" s="17">
        <v>312.568</v>
      </c>
    </row>
    <row r="10" spans="1:9">
      <c r="A10" s="17" t="s">
        <v>55</v>
      </c>
      <c r="B10" s="18">
        <v>46029</v>
      </c>
      <c r="C10" s="17" t="s">
        <v>56</v>
      </c>
      <c r="D10" s="17" t="s">
        <v>45</v>
      </c>
      <c r="E10" s="17" t="s">
        <v>51</v>
      </c>
      <c r="F10" s="19">
        <v>7.16</v>
      </c>
      <c r="G10" s="19">
        <v>0</v>
      </c>
      <c r="H10" s="19">
        <v>26.5</v>
      </c>
      <c r="I10" s="17">
        <v>189.740</v>
      </c>
    </row>
    <row r="11" spans="1:9">
      <c r="A11" s="17" t="s">
        <v>55</v>
      </c>
      <c r="B11" s="18">
        <v>46029</v>
      </c>
      <c r="C11" s="17" t="s">
        <v>57</v>
      </c>
      <c r="D11" s="17" t="s">
        <v>45</v>
      </c>
      <c r="E11" s="17" t="s">
        <v>51</v>
      </c>
      <c r="F11" s="19">
        <v>28.467</v>
      </c>
      <c r="G11" s="19">
        <v>0</v>
      </c>
      <c r="H11" s="19">
        <v>26.5</v>
      </c>
      <c r="I11" s="17">
        <v>754.376</v>
      </c>
    </row>
    <row r="12" spans="1:9">
      <c r="A12" s="17" t="s">
        <v>58</v>
      </c>
      <c r="B12" s="18">
        <v>46034</v>
      </c>
      <c r="C12" s="17" t="s">
        <v>59</v>
      </c>
      <c r="D12" s="17" t="s">
        <v>45</v>
      </c>
      <c r="E12" s="17" t="s">
        <v>51</v>
      </c>
      <c r="F12" s="19">
        <v>28.879</v>
      </c>
      <c r="G12" s="19">
        <v>0</v>
      </c>
      <c r="H12" s="19">
        <v>26.5</v>
      </c>
      <c r="I12" s="17">
        <v>765.294</v>
      </c>
    </row>
    <row r="13" spans="1:9">
      <c r="A13" s="17" t="s">
        <v>58</v>
      </c>
      <c r="B13" s="18">
        <v>46034</v>
      </c>
      <c r="C13" s="17" t="s">
        <v>60</v>
      </c>
      <c r="D13" s="17" t="s">
        <v>45</v>
      </c>
      <c r="E13" s="17" t="s">
        <v>51</v>
      </c>
      <c r="F13" s="19">
        <v>28.567</v>
      </c>
      <c r="G13" s="19">
        <v>0</v>
      </c>
      <c r="H13" s="19">
        <v>26.5</v>
      </c>
      <c r="I13" s="17">
        <v>757.026</v>
      </c>
    </row>
    <row r="14" spans="1:9">
      <c r="A14" s="17" t="s">
        <v>61</v>
      </c>
      <c r="B14" s="18">
        <v>46039</v>
      </c>
      <c r="C14" s="17" t="s">
        <v>48</v>
      </c>
      <c r="D14" s="17" t="s">
        <v>45</v>
      </c>
      <c r="E14" s="17" t="s">
        <v>51</v>
      </c>
      <c r="F14" s="19">
        <v>14.562</v>
      </c>
      <c r="G14" s="19">
        <v>0</v>
      </c>
      <c r="H14" s="19">
        <v>26.5</v>
      </c>
      <c r="I14" s="17">
        <v>385.893</v>
      </c>
    </row>
    <row r="15" spans="1:9">
      <c r="A15" s="17" t="s">
        <v>61</v>
      </c>
      <c r="B15" s="18">
        <v>46039</v>
      </c>
      <c r="C15" s="17" t="s">
        <v>62</v>
      </c>
      <c r="D15" s="17" t="s">
        <v>45</v>
      </c>
      <c r="E15" s="17" t="s">
        <v>51</v>
      </c>
      <c r="F15" s="19">
        <v>28.259</v>
      </c>
      <c r="G15" s="19">
        <v>0</v>
      </c>
      <c r="H15" s="19">
        <v>26.5</v>
      </c>
      <c r="I15" s="17">
        <v>748.864</v>
      </c>
    </row>
    <row r="16" spans="1:9">
      <c r="A16" s="17" t="s">
        <v>58</v>
      </c>
      <c r="B16" s="18">
        <v>46041</v>
      </c>
      <c r="C16" s="17" t="s">
        <v>63</v>
      </c>
      <c r="D16" s="17" t="s">
        <v>45</v>
      </c>
      <c r="E16" s="17" t="s">
        <v>51</v>
      </c>
      <c r="F16" s="19">
        <v>29.147</v>
      </c>
      <c r="G16" s="19">
        <v>0</v>
      </c>
      <c r="H16" s="19">
        <v>26.5</v>
      </c>
      <c r="I16" s="17">
        <v>772.396</v>
      </c>
    </row>
    <row r="17" spans="1:9">
      <c r="A17" s="17" t="s">
        <v>64</v>
      </c>
      <c r="B17" s="18">
        <v>46044</v>
      </c>
      <c r="C17" s="17" t="s">
        <v>65</v>
      </c>
      <c r="D17" s="17" t="s">
        <v>45</v>
      </c>
      <c r="E17" s="17" t="s">
        <v>51</v>
      </c>
      <c r="F17" s="19">
        <v>28.852</v>
      </c>
      <c r="G17" s="19">
        <v>0</v>
      </c>
      <c r="H17" s="19">
        <v>26.5</v>
      </c>
      <c r="I17" s="17">
        <v>764.578</v>
      </c>
    </row>
    <row r="18" spans="1:9">
      <c r="A18" s="17" t="s">
        <v>64</v>
      </c>
      <c r="B18" s="18">
        <v>46044</v>
      </c>
      <c r="C18" s="17" t="s">
        <v>66</v>
      </c>
      <c r="D18" s="17" t="s">
        <v>45</v>
      </c>
      <c r="E18" s="17" t="s">
        <v>51</v>
      </c>
      <c r="F18" s="19">
        <v>29.128</v>
      </c>
      <c r="G18" s="19">
        <v>0</v>
      </c>
      <c r="H18" s="19">
        <v>26.5</v>
      </c>
      <c r="I18" s="17">
        <v>771.892</v>
      </c>
    </row>
    <row r="19" spans="1:9">
      <c r="A19" s="17" t="s">
        <v>43</v>
      </c>
      <c r="B19" s="18">
        <v>46045</v>
      </c>
      <c r="C19" s="17" t="s">
        <v>67</v>
      </c>
      <c r="D19" s="17" t="s">
        <v>45</v>
      </c>
      <c r="E19" s="17" t="s">
        <v>51</v>
      </c>
      <c r="F19" s="19">
        <v>28.61</v>
      </c>
      <c r="G19" s="19">
        <v>0</v>
      </c>
      <c r="H19" s="19">
        <v>26.5</v>
      </c>
      <c r="I19" s="17">
        <v>758.165</v>
      </c>
    </row>
    <row r="20" spans="1:9">
      <c r="A20" s="17" t="s">
        <v>43</v>
      </c>
      <c r="B20" s="18">
        <v>46045</v>
      </c>
      <c r="C20" s="17" t="s">
        <v>68</v>
      </c>
      <c r="D20" s="17" t="s">
        <v>45</v>
      </c>
      <c r="E20" s="17" t="s">
        <v>51</v>
      </c>
      <c r="F20" s="19">
        <v>28.699</v>
      </c>
      <c r="G20" s="19">
        <v>0</v>
      </c>
      <c r="H20" s="19">
        <v>26.5</v>
      </c>
      <c r="I20" s="17">
        <v>760.524</v>
      </c>
    </row>
    <row r="21" spans="1:9">
      <c r="A21" s="17" t="s">
        <v>61</v>
      </c>
      <c r="B21" s="18">
        <v>46046</v>
      </c>
      <c r="C21" s="17" t="s">
        <v>69</v>
      </c>
      <c r="D21" s="17" t="s">
        <v>45</v>
      </c>
      <c r="E21" s="17" t="s">
        <v>51</v>
      </c>
      <c r="F21" s="19">
        <v>28.291</v>
      </c>
      <c r="G21" s="19">
        <v>0</v>
      </c>
      <c r="H21" s="19">
        <v>26.5</v>
      </c>
      <c r="I21" s="17">
        <v>749.712</v>
      </c>
    </row>
    <row r="22" spans="1:9">
      <c r="A22" s="17" t="s">
        <v>58</v>
      </c>
      <c r="B22" s="18">
        <v>46048</v>
      </c>
      <c r="C22" s="17" t="s">
        <v>70</v>
      </c>
      <c r="D22" s="17" t="s">
        <v>45</v>
      </c>
      <c r="E22" s="17" t="s">
        <v>51</v>
      </c>
      <c r="F22" s="19">
        <v>28.664</v>
      </c>
      <c r="G22" s="19">
        <v>0</v>
      </c>
      <c r="H22" s="19">
        <v>26.5</v>
      </c>
      <c r="I22" s="17">
        <v>759.596</v>
      </c>
    </row>
    <row r="23" spans="1:9">
      <c r="A23" s="17" t="s">
        <v>58</v>
      </c>
      <c r="B23" s="18">
        <v>46048</v>
      </c>
      <c r="C23" s="17" t="s">
        <v>71</v>
      </c>
      <c r="D23" s="17" t="s">
        <v>45</v>
      </c>
      <c r="E23" s="17" t="s">
        <v>51</v>
      </c>
      <c r="F23" s="19">
        <v>28.331</v>
      </c>
      <c r="G23" s="19">
        <v>0</v>
      </c>
      <c r="H23" s="19">
        <v>26.5</v>
      </c>
      <c r="I23" s="17">
        <v>750.772</v>
      </c>
    </row>
    <row r="24" spans="1:9">
      <c r="A24" s="17" t="s">
        <v>58</v>
      </c>
      <c r="B24" s="18">
        <v>46048</v>
      </c>
      <c r="C24" s="17" t="s">
        <v>72</v>
      </c>
      <c r="D24" s="17" t="s">
        <v>45</v>
      </c>
      <c r="E24" s="17" t="s">
        <v>51</v>
      </c>
      <c r="F24" s="19">
        <v>28.673</v>
      </c>
      <c r="G24" s="19">
        <v>0</v>
      </c>
      <c r="H24" s="19">
        <v>26.5</v>
      </c>
      <c r="I24" s="17">
        <v>759.834</v>
      </c>
    </row>
    <row r="25" spans="1:9">
      <c r="A25" s="17" t="s">
        <v>55</v>
      </c>
      <c r="B25" s="18">
        <v>46050</v>
      </c>
      <c r="C25" s="17" t="s">
        <v>73</v>
      </c>
      <c r="D25" s="17" t="s">
        <v>45</v>
      </c>
      <c r="E25" s="17" t="s">
        <v>51</v>
      </c>
      <c r="F25" s="19">
        <v>28.155</v>
      </c>
      <c r="G25" s="19">
        <v>0</v>
      </c>
      <c r="H25" s="19">
        <v>26.5</v>
      </c>
      <c r="I25" s="17">
        <v>746.108</v>
      </c>
    </row>
    <row r="26" spans="1:9">
      <c r="A26" s="17" t="s">
        <v>55</v>
      </c>
      <c r="B26" s="18">
        <v>46050</v>
      </c>
      <c r="C26" s="17" t="s">
        <v>74</v>
      </c>
      <c r="D26" s="17" t="s">
        <v>45</v>
      </c>
      <c r="E26" s="17" t="s">
        <v>51</v>
      </c>
      <c r="F26" s="19">
        <v>4.254</v>
      </c>
      <c r="G26" s="19">
        <v>0</v>
      </c>
      <c r="H26" s="19">
        <v>26.5</v>
      </c>
      <c r="I26" s="17">
        <v>112.731</v>
      </c>
    </row>
    <row r="27" spans="1:9">
      <c r="A27" s="17" t="s">
        <v>55</v>
      </c>
      <c r="B27" s="18">
        <v>46050</v>
      </c>
      <c r="C27" s="17" t="s">
        <v>75</v>
      </c>
      <c r="D27" s="17" t="s">
        <v>45</v>
      </c>
      <c r="E27" s="17" t="s">
        <v>51</v>
      </c>
      <c r="F27" s="19">
        <v>28.524</v>
      </c>
      <c r="G27" s="19">
        <v>0</v>
      </c>
      <c r="H27" s="19">
        <v>26.5</v>
      </c>
      <c r="I27" s="17">
        <v>755.886</v>
      </c>
    </row>
    <row r="28" spans="1:9">
      <c r="A28" s="17" t="s">
        <v>55</v>
      </c>
      <c r="B28" s="18">
        <v>46050</v>
      </c>
      <c r="C28" s="17" t="s">
        <v>76</v>
      </c>
      <c r="D28" s="17" t="s">
        <v>45</v>
      </c>
      <c r="E28" s="17" t="s">
        <v>51</v>
      </c>
      <c r="F28" s="19">
        <v>28.942</v>
      </c>
      <c r="G28" s="19">
        <v>0</v>
      </c>
      <c r="H28" s="19">
        <v>26.5</v>
      </c>
      <c r="I28" s="17">
        <v>766.963</v>
      </c>
    </row>
    <row r="29" spans="1:9">
      <c r="A29" s="17" t="s">
        <v>43</v>
      </c>
      <c r="B29" s="18">
        <v>46052</v>
      </c>
      <c r="C29" s="17" t="s">
        <v>77</v>
      </c>
      <c r="D29" s="17" t="s">
        <v>45</v>
      </c>
      <c r="E29" s="17" t="s">
        <v>51</v>
      </c>
      <c r="F29" s="19">
        <v>28.637</v>
      </c>
      <c r="G29" s="19">
        <v>0</v>
      </c>
      <c r="H29" s="19">
        <v>26.5</v>
      </c>
      <c r="I29" s="17">
        <v>758.881</v>
      </c>
    </row>
    <row r="30" spans="1:9">
      <c r="A30" s="17" t="s">
        <v>43</v>
      </c>
      <c r="B30" s="18">
        <v>46052</v>
      </c>
      <c r="C30" s="17" t="s">
        <v>78</v>
      </c>
      <c r="D30" s="17" t="s">
        <v>45</v>
      </c>
      <c r="E30" s="17" t="s">
        <v>51</v>
      </c>
      <c r="F30" s="19">
        <v>28.217</v>
      </c>
      <c r="G30" s="19">
        <v>0</v>
      </c>
      <c r="H30" s="19">
        <v>26.5</v>
      </c>
      <c r="I30" s="17">
        <v>747.751</v>
      </c>
    </row>
    <row r="31" spans="1:9">
      <c r="A31" s="17" t="s">
        <v>43</v>
      </c>
      <c r="B31" s="18">
        <v>46052</v>
      </c>
      <c r="C31" s="17" t="s">
        <v>79</v>
      </c>
      <c r="D31" s="17" t="s">
        <v>45</v>
      </c>
      <c r="E31" s="17" t="s">
        <v>51</v>
      </c>
      <c r="F31" s="19">
        <v>28.309</v>
      </c>
      <c r="G31" s="19">
        <v>0</v>
      </c>
      <c r="H31" s="19">
        <v>26.5</v>
      </c>
      <c r="I31" s="17">
        <v>750.189</v>
      </c>
    </row>
    <row r="32" spans="1:9">
      <c r="A32" s="17" t="s">
        <v>61</v>
      </c>
      <c r="B32" s="18">
        <v>46053</v>
      </c>
      <c r="C32" s="17" t="s">
        <v>80</v>
      </c>
      <c r="D32" s="17" t="s">
        <v>45</v>
      </c>
      <c r="E32" s="17" t="s">
        <v>51</v>
      </c>
      <c r="F32" s="19">
        <v>28.406</v>
      </c>
      <c r="G32" s="19">
        <v>0</v>
      </c>
      <c r="H32" s="19">
        <v>26.5</v>
      </c>
      <c r="I32" s="17">
        <v>752.759</v>
      </c>
    </row>
    <row r="33" spans="6:9">
      <c r="F33" s="19">
        <f>SUBTOTAL(109,[total_tonnage])</f>
        <v>0</v>
      </c>
      <c r="G33" s="19">
        <f>SUBTOTAL(109,[overtime_tonnage])</f>
        <v>0</v>
      </c>
      <c r="H33" s="19">
        <f>SUBTOTAL(109,[unit_price])</f>
        <v>0</v>
      </c>
      <c r="I33" s="17">
        <f>SUBTOTAL(109,[total_price])</f>
        <v>0</v>
      </c>
    </row>
  </sheetData>
  <printOptions horizontalCentered="1"/>
  <pageMargins left="0.25" right="0.25" top="0.6" bottom="0.6" header="0.3" footer="0.3"/>
  <pageSetup paperSize="9" orientation="landscape"/>
  <headerFooter>
    <oddHeader>&amp;C&amp;B&amp;A</oddHeader>
    <oddFooter>&amp;CPage &amp;P of &amp;N</oddFoot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3"/>
  <sheetViews>
    <sheetView showGridLines="0"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3" width="12.7109375" customWidth="1"/>
    <col min="4" max="4" width="10.7109375" customWidth="1"/>
    <col min="5" max="5" width="7.7109375" customWidth="1"/>
    <col min="6" max="6" width="16.7109375" customWidth="1"/>
    <col min="7" max="8" width="10.7109375" customWidth="1"/>
    <col min="9" max="9" width="12.7109375" customWidth="1"/>
    <col min="10" max="10" width="13.7109375" customWidth="1"/>
  </cols>
  <sheetData>
    <row r="1" spans="1:10" ht="24" customHeight="1">
      <c r="A1" s="20" t="s">
        <v>34</v>
      </c>
      <c r="B1" s="20" t="s">
        <v>35</v>
      </c>
      <c r="C1" s="20" t="s">
        <v>81</v>
      </c>
      <c r="D1" s="20" t="s">
        <v>82</v>
      </c>
      <c r="E1" s="20" t="s">
        <v>83</v>
      </c>
      <c r="F1" s="20" t="s">
        <v>84</v>
      </c>
      <c r="G1" s="20" t="s">
        <v>37</v>
      </c>
      <c r="H1" s="20" t="s">
        <v>85</v>
      </c>
      <c r="I1" s="20" t="s">
        <v>41</v>
      </c>
      <c r="J1" s="20" t="s">
        <v>42</v>
      </c>
    </row>
    <row r="2" spans="1:10">
      <c r="A2" s="17" t="s">
        <v>43</v>
      </c>
      <c r="B2" s="18">
        <v>46038</v>
      </c>
      <c r="C2" s="17" t="s">
        <v>86</v>
      </c>
      <c r="D2" s="17" t="s">
        <v>87</v>
      </c>
      <c r="E2" s="21">
        <v>9</v>
      </c>
      <c r="F2" s="21">
        <v>0</v>
      </c>
      <c r="G2" s="17" t="s">
        <v>45</v>
      </c>
      <c r="H2" s="17" t="s">
        <v>88</v>
      </c>
      <c r="I2" s="19">
        <v>135</v>
      </c>
      <c r="J2" s="17">
        <v>1215</v>
      </c>
    </row>
    <row r="3" spans="1:10">
      <c r="E3" s="21">
        <f>SUBTOTAL(109,[hours])</f>
        <v>0</v>
      </c>
      <c r="F3" s="21">
        <f>SUBTOTAL(109,[overtime_hours])</f>
        <v>0</v>
      </c>
      <c r="I3" s="19">
        <f>SUBTOTAL(109,[unit_price])</f>
        <v>0</v>
      </c>
      <c r="J3" s="17">
        <f>SUBTOTAL(109,[total_price])</f>
        <v>0</v>
      </c>
    </row>
  </sheetData>
  <printOptions horizontalCentered="1"/>
  <pageMargins left="0.25" right="0.25" top="0.6" bottom="0.6" header="0.3" footer="0.3"/>
  <pageSetup paperSize="9" orientation="landscape"/>
  <headerFooter>
    <oddHeader>&amp;C&amp;B&amp;A</oddHeader>
    <oddFooter>&amp;CPage &amp;P of &amp;N</oddFooter>
  </headerFooter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6"/>
  <sheetViews>
    <sheetView showGridLines="0"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2" width="18.7109375" customWidth="1"/>
    <col min="3" max="3" width="16.7109375" customWidth="1"/>
    <col min="4" max="4" width="12.7109375" customWidth="1"/>
    <col min="5" max="5" width="11.7109375" customWidth="1"/>
    <col min="6" max="6" width="14.7109375" customWidth="1"/>
    <col min="7" max="7" width="11.7109375" customWidth="1"/>
    <col min="8" max="8" width="9.7109375" customWidth="1"/>
    <col min="9" max="9" width="14.7109375" customWidth="1"/>
    <col min="10" max="10" width="18.7109375" customWidth="1"/>
    <col min="11" max="11" width="15.7109375" customWidth="1"/>
    <col min="12" max="12" width="13.7109375" customWidth="1"/>
    <col min="13" max="13" width="15.7109375" customWidth="1"/>
  </cols>
  <sheetData>
    <row r="1" spans="1:13" ht="24" customHeight="1">
      <c r="A1" s="22" t="s">
        <v>89</v>
      </c>
      <c r="B1" s="22" t="s">
        <v>36</v>
      </c>
      <c r="C1" s="22" t="s">
        <v>90</v>
      </c>
      <c r="D1" s="22" t="s">
        <v>91</v>
      </c>
      <c r="E1" s="22" t="s">
        <v>92</v>
      </c>
      <c r="F1" s="22" t="s">
        <v>93</v>
      </c>
      <c r="G1" s="22" t="s">
        <v>94</v>
      </c>
      <c r="H1" s="22" t="s">
        <v>95</v>
      </c>
      <c r="I1" s="22" t="s">
        <v>96</v>
      </c>
      <c r="J1" s="22" t="s">
        <v>97</v>
      </c>
      <c r="K1" s="22" t="s">
        <v>98</v>
      </c>
      <c r="L1" s="22" t="s">
        <v>42</v>
      </c>
      <c r="M1" s="22" t="s">
        <v>99</v>
      </c>
    </row>
    <row r="2" spans="1:13">
      <c r="A2" s="23">
        <v>46019.51111111111</v>
      </c>
      <c r="B2" s="17" t="s">
        <v>100</v>
      </c>
      <c r="C2" s="17" t="s">
        <v>101</v>
      </c>
      <c r="D2" s="18">
        <v>46036</v>
      </c>
      <c r="E2" s="17" t="s">
        <v>102</v>
      </c>
      <c r="F2" s="24">
        <v>14</v>
      </c>
      <c r="G2" s="17" t="s">
        <v>24</v>
      </c>
      <c r="H2" s="19">
        <v>0</v>
      </c>
      <c r="I2" s="19">
        <v>0</v>
      </c>
      <c r="J2" s="19">
        <v>30</v>
      </c>
      <c r="K2" s="19">
        <v>980</v>
      </c>
      <c r="L2" s="19">
        <v>1010</v>
      </c>
      <c r="M2" s="17"/>
    </row>
    <row r="3" spans="1:13">
      <c r="A3" s="23">
        <v>46019.60833333333</v>
      </c>
      <c r="B3" s="17" t="s">
        <v>103</v>
      </c>
      <c r="C3" s="17" t="s">
        <v>101</v>
      </c>
      <c r="D3" s="18">
        <v>46036</v>
      </c>
      <c r="E3" s="17" t="s">
        <v>104</v>
      </c>
      <c r="F3" s="24">
        <v>14</v>
      </c>
      <c r="G3" s="17" t="s">
        <v>24</v>
      </c>
      <c r="H3" s="19">
        <v>0</v>
      </c>
      <c r="I3" s="19">
        <v>0</v>
      </c>
      <c r="J3" s="19">
        <v>30</v>
      </c>
      <c r="K3" s="19">
        <v>980</v>
      </c>
      <c r="L3" s="19">
        <v>1010</v>
      </c>
      <c r="M3" s="17"/>
    </row>
    <row r="4" spans="1:13">
      <c r="A4" s="23">
        <v>46019.61388888889</v>
      </c>
      <c r="B4" s="17" t="s">
        <v>105</v>
      </c>
      <c r="C4" s="17" t="s">
        <v>101</v>
      </c>
      <c r="D4" s="18">
        <v>46043</v>
      </c>
      <c r="E4" s="17" t="s">
        <v>106</v>
      </c>
      <c r="F4" s="24">
        <v>21</v>
      </c>
      <c r="G4" s="17" t="s">
        <v>24</v>
      </c>
      <c r="H4" s="19">
        <v>0</v>
      </c>
      <c r="I4" s="19">
        <v>0</v>
      </c>
      <c r="J4" s="19">
        <v>30</v>
      </c>
      <c r="K4" s="19">
        <v>1470</v>
      </c>
      <c r="L4" s="19">
        <v>1500</v>
      </c>
      <c r="M4" s="17"/>
    </row>
    <row r="5" spans="1:13">
      <c r="A5" s="23">
        <v>46028.45833333334</v>
      </c>
      <c r="B5" s="17" t="s">
        <v>54</v>
      </c>
      <c r="C5" s="17" t="s">
        <v>101</v>
      </c>
      <c r="D5" s="18">
        <v>46043</v>
      </c>
      <c r="E5" s="17" t="s">
        <v>107</v>
      </c>
      <c r="F5" s="24">
        <v>16</v>
      </c>
      <c r="G5" s="17" t="s">
        <v>24</v>
      </c>
      <c r="H5" s="19">
        <v>28.791</v>
      </c>
      <c r="I5" s="19">
        <v>25</v>
      </c>
      <c r="J5" s="19">
        <v>30</v>
      </c>
      <c r="K5" s="19">
        <v>1120</v>
      </c>
      <c r="L5" s="19">
        <v>1175</v>
      </c>
      <c r="M5" s="17"/>
    </row>
    <row r="6" spans="1:13">
      <c r="A6" s="23">
        <v>46028.55416666667</v>
      </c>
      <c r="B6" s="17" t="s">
        <v>50</v>
      </c>
      <c r="C6" s="17" t="s">
        <v>101</v>
      </c>
      <c r="D6" s="18">
        <v>46053</v>
      </c>
      <c r="E6" s="17" t="s">
        <v>108</v>
      </c>
      <c r="F6" s="24">
        <v>26</v>
      </c>
      <c r="G6" s="17" t="s">
        <v>24</v>
      </c>
      <c r="H6" s="19">
        <v>28.561</v>
      </c>
      <c r="I6" s="19">
        <v>25</v>
      </c>
      <c r="J6" s="19">
        <v>30</v>
      </c>
      <c r="K6" s="19">
        <v>1820</v>
      </c>
      <c r="L6" s="19">
        <v>1875</v>
      </c>
      <c r="M6" s="17"/>
    </row>
    <row r="7" spans="1:13">
      <c r="A7" s="23">
        <v>46028.69861111111</v>
      </c>
      <c r="B7" s="17" t="s">
        <v>53</v>
      </c>
      <c r="C7" s="17" t="s">
        <v>101</v>
      </c>
      <c r="D7" s="18">
        <v>46035</v>
      </c>
      <c r="E7" s="17" t="s">
        <v>109</v>
      </c>
      <c r="F7" s="24">
        <v>8</v>
      </c>
      <c r="G7" s="17" t="s">
        <v>24</v>
      </c>
      <c r="H7" s="19">
        <v>28.591</v>
      </c>
      <c r="I7" s="19">
        <v>25</v>
      </c>
      <c r="J7" s="19">
        <v>30</v>
      </c>
      <c r="K7" s="19">
        <v>560</v>
      </c>
      <c r="L7" s="19">
        <v>615</v>
      </c>
      <c r="M7" s="17"/>
    </row>
    <row r="8" spans="1:13">
      <c r="A8" s="23">
        <v>46028.73055555556</v>
      </c>
      <c r="B8" s="17" t="s">
        <v>52</v>
      </c>
      <c r="C8" s="17" t="s">
        <v>110</v>
      </c>
      <c r="D8" s="18">
        <v>46029</v>
      </c>
      <c r="E8" s="17" t="s">
        <v>111</v>
      </c>
      <c r="F8" s="24">
        <v>1</v>
      </c>
      <c r="G8" s="17" t="s">
        <v>24</v>
      </c>
      <c r="H8" s="19">
        <v>16.435</v>
      </c>
      <c r="I8" s="19">
        <v>25</v>
      </c>
      <c r="J8" s="19">
        <v>0</v>
      </c>
      <c r="K8" s="19">
        <v>70</v>
      </c>
      <c r="L8" s="19">
        <v>95</v>
      </c>
      <c r="M8" s="17"/>
    </row>
    <row r="9" spans="1:13">
      <c r="A9" s="23">
        <v>46029.4375</v>
      </c>
      <c r="B9" s="17" t="s">
        <v>52</v>
      </c>
      <c r="C9" s="17" t="s">
        <v>112</v>
      </c>
      <c r="D9" s="18">
        <v>46035</v>
      </c>
      <c r="E9" s="17" t="s">
        <v>111</v>
      </c>
      <c r="F9" s="24">
        <v>7</v>
      </c>
      <c r="G9" s="17" t="s">
        <v>24</v>
      </c>
      <c r="H9" s="19">
        <v>11.795</v>
      </c>
      <c r="I9" s="19">
        <v>25</v>
      </c>
      <c r="J9" s="19">
        <v>30</v>
      </c>
      <c r="K9" s="19">
        <v>490</v>
      </c>
      <c r="L9" s="19">
        <v>545</v>
      </c>
      <c r="M9" s="17"/>
    </row>
    <row r="10" spans="1:13">
      <c r="A10" s="23">
        <v>46029.52847222222</v>
      </c>
      <c r="B10" s="17" t="s">
        <v>57</v>
      </c>
      <c r="C10" s="17" t="s">
        <v>101</v>
      </c>
      <c r="D10" s="18">
        <v>46030</v>
      </c>
      <c r="E10" s="17"/>
      <c r="F10" s="24">
        <v>2</v>
      </c>
      <c r="G10" s="17" t="s">
        <v>24</v>
      </c>
      <c r="H10" s="19">
        <v>28.467</v>
      </c>
      <c r="I10" s="19">
        <v>25</v>
      </c>
      <c r="J10" s="19">
        <v>30</v>
      </c>
      <c r="K10" s="19">
        <v>140</v>
      </c>
      <c r="L10" s="19">
        <v>195</v>
      </c>
      <c r="M10" s="17"/>
    </row>
    <row r="11" spans="1:13">
      <c r="A11" s="23">
        <v>46029.54027777778</v>
      </c>
      <c r="B11" s="17" t="s">
        <v>56</v>
      </c>
      <c r="C11" s="17" t="s">
        <v>112</v>
      </c>
      <c r="D11" s="18">
        <v>46043</v>
      </c>
      <c r="E11" s="17" t="s">
        <v>113</v>
      </c>
      <c r="F11" s="24">
        <v>15</v>
      </c>
      <c r="G11" s="17" t="s">
        <v>24</v>
      </c>
      <c r="H11" s="19">
        <v>7.16</v>
      </c>
      <c r="I11" s="19">
        <v>25</v>
      </c>
      <c r="J11" s="19">
        <v>30</v>
      </c>
      <c r="K11" s="19">
        <v>1050</v>
      </c>
      <c r="L11" s="19">
        <v>1105</v>
      </c>
      <c r="M11" s="17"/>
    </row>
    <row r="12" spans="1:13">
      <c r="A12" s="23">
        <v>46034</v>
      </c>
      <c r="B12" s="17" t="s">
        <v>59</v>
      </c>
      <c r="C12" s="17" t="s">
        <v>101</v>
      </c>
      <c r="D12" s="18">
        <v>46034</v>
      </c>
      <c r="E12" s="17"/>
      <c r="F12" s="24">
        <v>1</v>
      </c>
      <c r="G12" s="17" t="s">
        <v>24</v>
      </c>
      <c r="H12" s="19">
        <v>28.879</v>
      </c>
      <c r="I12" s="19">
        <v>0</v>
      </c>
      <c r="J12" s="19">
        <v>0</v>
      </c>
      <c r="K12" s="19">
        <v>70</v>
      </c>
      <c r="L12" s="19">
        <v>70</v>
      </c>
      <c r="M12" s="17"/>
    </row>
    <row r="13" spans="1:13">
      <c r="A13" s="23">
        <v>46034</v>
      </c>
      <c r="B13" s="17" t="s">
        <v>60</v>
      </c>
      <c r="C13" s="17" t="s">
        <v>101</v>
      </c>
      <c r="D13" s="18">
        <v>46034</v>
      </c>
      <c r="E13" s="17"/>
      <c r="F13" s="24">
        <v>1</v>
      </c>
      <c r="G13" s="17" t="s">
        <v>24</v>
      </c>
      <c r="H13" s="19">
        <v>28.567</v>
      </c>
      <c r="I13" s="19">
        <v>0</v>
      </c>
      <c r="J13" s="19">
        <v>0</v>
      </c>
      <c r="K13" s="19">
        <v>70</v>
      </c>
      <c r="L13" s="19">
        <v>70</v>
      </c>
      <c r="M13" s="17"/>
    </row>
    <row r="14" spans="1:13">
      <c r="A14" s="23">
        <v>46038.42361111111</v>
      </c>
      <c r="B14" s="17" t="s">
        <v>44</v>
      </c>
      <c r="C14" s="17" t="s">
        <v>101</v>
      </c>
      <c r="D14" s="18"/>
      <c r="E14" s="17"/>
      <c r="F14" s="24">
        <v>16</v>
      </c>
      <c r="G14" s="17" t="s">
        <v>24</v>
      </c>
      <c r="H14" s="19">
        <v>28.562</v>
      </c>
      <c r="I14" s="19">
        <v>25</v>
      </c>
      <c r="J14" s="19">
        <v>0</v>
      </c>
      <c r="K14" s="19">
        <v>1120</v>
      </c>
      <c r="L14" s="19">
        <v>1145</v>
      </c>
      <c r="M14" s="17" t="s">
        <v>114</v>
      </c>
    </row>
    <row r="15" spans="1:13">
      <c r="A15" s="23">
        <v>46038.68819444445</v>
      </c>
      <c r="B15" s="17" t="s">
        <v>47</v>
      </c>
      <c r="C15" s="17" t="s">
        <v>101</v>
      </c>
      <c r="D15" s="18"/>
      <c r="E15" s="17"/>
      <c r="F15" s="24">
        <v>16</v>
      </c>
      <c r="G15" s="17" t="s">
        <v>24</v>
      </c>
      <c r="H15" s="19">
        <v>28.075</v>
      </c>
      <c r="I15" s="19">
        <v>25</v>
      </c>
      <c r="J15" s="19">
        <v>0</v>
      </c>
      <c r="K15" s="19">
        <v>1120</v>
      </c>
      <c r="L15" s="19">
        <v>1145</v>
      </c>
      <c r="M15" s="17" t="s">
        <v>114</v>
      </c>
    </row>
    <row r="16" spans="1:13">
      <c r="A16" s="23">
        <v>46038.71736111111</v>
      </c>
      <c r="B16" s="17" t="s">
        <v>48</v>
      </c>
      <c r="C16" s="17" t="s">
        <v>110</v>
      </c>
      <c r="D16" s="18">
        <v>46039</v>
      </c>
      <c r="E16" s="17"/>
      <c r="F16" s="24">
        <v>1</v>
      </c>
      <c r="G16" s="17" t="s">
        <v>24</v>
      </c>
      <c r="H16" s="19">
        <v>12.284</v>
      </c>
      <c r="I16" s="19">
        <v>25</v>
      </c>
      <c r="J16" s="19">
        <v>0</v>
      </c>
      <c r="K16" s="19">
        <v>70</v>
      </c>
      <c r="L16" s="19">
        <v>95</v>
      </c>
      <c r="M16" s="17"/>
    </row>
    <row r="17" spans="1:13">
      <c r="A17" s="23">
        <v>46039.46458333333</v>
      </c>
      <c r="B17" s="17" t="s">
        <v>48</v>
      </c>
      <c r="C17" s="17" t="s">
        <v>112</v>
      </c>
      <c r="D17" s="18"/>
      <c r="E17" s="17"/>
      <c r="F17" s="24">
        <v>15</v>
      </c>
      <c r="G17" s="17" t="s">
        <v>24</v>
      </c>
      <c r="H17" s="19">
        <v>14.562</v>
      </c>
      <c r="I17" s="19">
        <v>25</v>
      </c>
      <c r="J17" s="19">
        <v>0</v>
      </c>
      <c r="K17" s="19">
        <v>1050</v>
      </c>
      <c r="L17" s="19">
        <v>1075</v>
      </c>
      <c r="M17" s="17" t="s">
        <v>114</v>
      </c>
    </row>
    <row r="18" spans="1:13">
      <c r="A18" s="23">
        <v>46039.65972222222</v>
      </c>
      <c r="B18" s="17" t="s">
        <v>62</v>
      </c>
      <c r="C18" s="17" t="s">
        <v>101</v>
      </c>
      <c r="D18" s="18"/>
      <c r="E18" s="17"/>
      <c r="F18" s="24">
        <v>15</v>
      </c>
      <c r="G18" s="17" t="s">
        <v>24</v>
      </c>
      <c r="H18" s="19">
        <v>28.259</v>
      </c>
      <c r="I18" s="19">
        <v>25</v>
      </c>
      <c r="J18" s="19">
        <v>0</v>
      </c>
      <c r="K18" s="19">
        <v>1050</v>
      </c>
      <c r="L18" s="19">
        <v>1075</v>
      </c>
      <c r="M18" s="17" t="s">
        <v>114</v>
      </c>
    </row>
    <row r="19" spans="1:13">
      <c r="A19" s="23">
        <v>46041.49791666667</v>
      </c>
      <c r="B19" s="17" t="s">
        <v>63</v>
      </c>
      <c r="C19" s="17" t="s">
        <v>101</v>
      </c>
      <c r="D19" s="18"/>
      <c r="E19" s="17"/>
      <c r="F19" s="24">
        <v>13</v>
      </c>
      <c r="G19" s="17" t="s">
        <v>24</v>
      </c>
      <c r="H19" s="19">
        <v>29.147</v>
      </c>
      <c r="I19" s="19">
        <v>25</v>
      </c>
      <c r="J19" s="19">
        <v>0</v>
      </c>
      <c r="K19" s="19">
        <v>910</v>
      </c>
      <c r="L19" s="19">
        <v>935</v>
      </c>
      <c r="M19" s="17" t="s">
        <v>114</v>
      </c>
    </row>
    <row r="20" spans="1:13">
      <c r="A20" s="23">
        <v>46044.42430555556</v>
      </c>
      <c r="B20" s="17" t="s">
        <v>66</v>
      </c>
      <c r="C20" s="17" t="s">
        <v>101</v>
      </c>
      <c r="D20" s="18"/>
      <c r="E20" s="17"/>
      <c r="F20" s="24">
        <v>10</v>
      </c>
      <c r="G20" s="17" t="s">
        <v>24</v>
      </c>
      <c r="H20" s="19">
        <v>29.128</v>
      </c>
      <c r="I20" s="19">
        <v>25</v>
      </c>
      <c r="J20" s="19">
        <v>0</v>
      </c>
      <c r="K20" s="19">
        <v>700</v>
      </c>
      <c r="L20" s="19">
        <v>725</v>
      </c>
      <c r="M20" s="17" t="s">
        <v>114</v>
      </c>
    </row>
    <row r="21" spans="1:13">
      <c r="A21" s="23">
        <v>46044.54583333333</v>
      </c>
      <c r="B21" s="17" t="s">
        <v>65</v>
      </c>
      <c r="C21" s="17" t="s">
        <v>101</v>
      </c>
      <c r="D21" s="18"/>
      <c r="E21" s="17"/>
      <c r="F21" s="24">
        <v>10</v>
      </c>
      <c r="G21" s="17" t="s">
        <v>24</v>
      </c>
      <c r="H21" s="19">
        <v>28.852</v>
      </c>
      <c r="I21" s="19">
        <v>25</v>
      </c>
      <c r="J21" s="19">
        <v>0</v>
      </c>
      <c r="K21" s="19">
        <v>700</v>
      </c>
      <c r="L21" s="19">
        <v>725</v>
      </c>
      <c r="M21" s="17" t="s">
        <v>114</v>
      </c>
    </row>
    <row r="22" spans="1:13">
      <c r="A22" s="23">
        <v>46045.59652777778</v>
      </c>
      <c r="B22" s="17" t="s">
        <v>67</v>
      </c>
      <c r="C22" s="17" t="s">
        <v>101</v>
      </c>
      <c r="D22" s="18"/>
      <c r="E22" s="17"/>
      <c r="F22" s="24">
        <v>9</v>
      </c>
      <c r="G22" s="17" t="s">
        <v>24</v>
      </c>
      <c r="H22" s="19">
        <v>28.61</v>
      </c>
      <c r="I22" s="19">
        <v>25</v>
      </c>
      <c r="J22" s="19">
        <v>0</v>
      </c>
      <c r="K22" s="19">
        <v>630</v>
      </c>
      <c r="L22" s="19">
        <v>655</v>
      </c>
      <c r="M22" s="17" t="s">
        <v>114</v>
      </c>
    </row>
    <row r="23" spans="1:13">
      <c r="A23" s="23">
        <v>46045.66111111111</v>
      </c>
      <c r="B23" s="17" t="s">
        <v>68</v>
      </c>
      <c r="C23" s="17" t="s">
        <v>101</v>
      </c>
      <c r="D23" s="18"/>
      <c r="E23" s="17"/>
      <c r="F23" s="24">
        <v>9</v>
      </c>
      <c r="G23" s="17" t="s">
        <v>24</v>
      </c>
      <c r="H23" s="19">
        <v>28.699</v>
      </c>
      <c r="I23" s="19">
        <v>25</v>
      </c>
      <c r="J23" s="19">
        <v>0</v>
      </c>
      <c r="K23" s="19">
        <v>630</v>
      </c>
      <c r="L23" s="19">
        <v>655</v>
      </c>
      <c r="M23" s="17" t="s">
        <v>114</v>
      </c>
    </row>
    <row r="24" spans="1:13">
      <c r="A24" s="23">
        <v>46046.61666666667</v>
      </c>
      <c r="B24" s="17" t="s">
        <v>69</v>
      </c>
      <c r="C24" s="17" t="s">
        <v>101</v>
      </c>
      <c r="D24" s="18"/>
      <c r="E24" s="17"/>
      <c r="F24" s="24">
        <v>8</v>
      </c>
      <c r="G24" s="17" t="s">
        <v>24</v>
      </c>
      <c r="H24" s="19">
        <v>28.291</v>
      </c>
      <c r="I24" s="19">
        <v>25</v>
      </c>
      <c r="J24" s="19">
        <v>0</v>
      </c>
      <c r="K24" s="19">
        <v>560</v>
      </c>
      <c r="L24" s="19">
        <v>585</v>
      </c>
      <c r="M24" s="17" t="s">
        <v>114</v>
      </c>
    </row>
    <row r="25" spans="1:13">
      <c r="A25" s="23">
        <v>46048.62291666667</v>
      </c>
      <c r="B25" s="17" t="s">
        <v>72</v>
      </c>
      <c r="C25" s="17" t="s">
        <v>101</v>
      </c>
      <c r="D25" s="18"/>
      <c r="E25" s="17"/>
      <c r="F25" s="24">
        <v>6</v>
      </c>
      <c r="G25" s="17" t="s">
        <v>24</v>
      </c>
      <c r="H25" s="19">
        <v>28.673</v>
      </c>
      <c r="I25" s="19">
        <v>25</v>
      </c>
      <c r="J25" s="19">
        <v>0</v>
      </c>
      <c r="K25" s="19">
        <v>420</v>
      </c>
      <c r="L25" s="19">
        <v>445</v>
      </c>
      <c r="M25" s="17" t="s">
        <v>114</v>
      </c>
    </row>
    <row r="26" spans="1:13">
      <c r="A26" s="23">
        <v>46048.69027777778</v>
      </c>
      <c r="B26" s="17" t="s">
        <v>71</v>
      </c>
      <c r="C26" s="17" t="s">
        <v>101</v>
      </c>
      <c r="D26" s="18">
        <v>46051</v>
      </c>
      <c r="E26" s="17"/>
      <c r="F26" s="24">
        <v>4</v>
      </c>
      <c r="G26" s="17" t="s">
        <v>24</v>
      </c>
      <c r="H26" s="19">
        <v>28.331</v>
      </c>
      <c r="I26" s="19">
        <v>25</v>
      </c>
      <c r="J26" s="19">
        <v>30</v>
      </c>
      <c r="K26" s="19">
        <v>280</v>
      </c>
      <c r="L26" s="19">
        <v>335</v>
      </c>
      <c r="M26" s="17"/>
    </row>
    <row r="27" spans="1:13">
      <c r="A27" s="23">
        <v>46048.71805555555</v>
      </c>
      <c r="B27" s="17" t="s">
        <v>70</v>
      </c>
      <c r="C27" s="17" t="s">
        <v>101</v>
      </c>
      <c r="D27" s="18"/>
      <c r="E27" s="17"/>
      <c r="F27" s="24">
        <v>6</v>
      </c>
      <c r="G27" s="17" t="s">
        <v>24</v>
      </c>
      <c r="H27" s="19">
        <v>28.664</v>
      </c>
      <c r="I27" s="19">
        <v>25</v>
      </c>
      <c r="J27" s="19">
        <v>0</v>
      </c>
      <c r="K27" s="19">
        <v>420</v>
      </c>
      <c r="L27" s="19">
        <v>445</v>
      </c>
      <c r="M27" s="17" t="s">
        <v>114</v>
      </c>
    </row>
    <row r="28" spans="1:13">
      <c r="A28" s="23">
        <v>46050.49236111111</v>
      </c>
      <c r="B28" s="17" t="s">
        <v>75</v>
      </c>
      <c r="C28" s="17" t="s">
        <v>101</v>
      </c>
      <c r="D28" s="18"/>
      <c r="E28" s="17"/>
      <c r="F28" s="24">
        <v>4</v>
      </c>
      <c r="G28" s="17" t="s">
        <v>24</v>
      </c>
      <c r="H28" s="19">
        <v>28.524</v>
      </c>
      <c r="I28" s="19">
        <v>25</v>
      </c>
      <c r="J28" s="19">
        <v>0</v>
      </c>
      <c r="K28" s="19">
        <v>280</v>
      </c>
      <c r="L28" s="19">
        <v>305</v>
      </c>
      <c r="M28" s="17" t="s">
        <v>114</v>
      </c>
    </row>
    <row r="29" spans="1:13">
      <c r="A29" s="23">
        <v>46050.60625</v>
      </c>
      <c r="B29" s="17" t="s">
        <v>76</v>
      </c>
      <c r="C29" s="17" t="s">
        <v>101</v>
      </c>
      <c r="D29" s="18"/>
      <c r="E29" s="17"/>
      <c r="F29" s="24">
        <v>4</v>
      </c>
      <c r="G29" s="17" t="s">
        <v>24</v>
      </c>
      <c r="H29" s="19">
        <v>28.942</v>
      </c>
      <c r="I29" s="19">
        <v>25</v>
      </c>
      <c r="J29" s="19">
        <v>0</v>
      </c>
      <c r="K29" s="19">
        <v>280</v>
      </c>
      <c r="L29" s="19">
        <v>305</v>
      </c>
      <c r="M29" s="17" t="s">
        <v>114</v>
      </c>
    </row>
    <row r="30" spans="1:13">
      <c r="A30" s="23">
        <v>46050.65972222222</v>
      </c>
      <c r="B30" s="17" t="s">
        <v>73</v>
      </c>
      <c r="C30" s="17" t="s">
        <v>101</v>
      </c>
      <c r="D30" s="18"/>
      <c r="E30" s="17"/>
      <c r="F30" s="24">
        <v>4</v>
      </c>
      <c r="G30" s="17" t="s">
        <v>24</v>
      </c>
      <c r="H30" s="19">
        <v>28.155</v>
      </c>
      <c r="I30" s="19">
        <v>25</v>
      </c>
      <c r="J30" s="19">
        <v>0</v>
      </c>
      <c r="K30" s="19">
        <v>280</v>
      </c>
      <c r="L30" s="19">
        <v>305</v>
      </c>
      <c r="M30" s="17" t="s">
        <v>114</v>
      </c>
    </row>
    <row r="31" spans="1:13">
      <c r="A31" s="23">
        <v>46050.70972222222</v>
      </c>
      <c r="B31" s="17" t="s">
        <v>74</v>
      </c>
      <c r="C31" s="17" t="s">
        <v>112</v>
      </c>
      <c r="D31" s="18"/>
      <c r="E31" s="17"/>
      <c r="F31" s="24">
        <v>4</v>
      </c>
      <c r="G31" s="17" t="s">
        <v>24</v>
      </c>
      <c r="H31" s="19">
        <v>4.254</v>
      </c>
      <c r="I31" s="19">
        <v>25</v>
      </c>
      <c r="J31" s="19">
        <v>0</v>
      </c>
      <c r="K31" s="19">
        <v>280</v>
      </c>
      <c r="L31" s="19">
        <v>305</v>
      </c>
      <c r="M31" s="17" t="s">
        <v>114</v>
      </c>
    </row>
    <row r="32" spans="1:13">
      <c r="A32" s="23">
        <v>46052</v>
      </c>
      <c r="B32" s="17" t="s">
        <v>77</v>
      </c>
      <c r="C32" s="17" t="s">
        <v>101</v>
      </c>
      <c r="D32" s="18">
        <v>46052</v>
      </c>
      <c r="E32" s="17"/>
      <c r="F32" s="24">
        <v>1</v>
      </c>
      <c r="G32" s="17" t="s">
        <v>24</v>
      </c>
      <c r="H32" s="19">
        <v>28.637</v>
      </c>
      <c r="I32" s="19">
        <v>0</v>
      </c>
      <c r="J32" s="19">
        <v>0</v>
      </c>
      <c r="K32" s="19">
        <v>70</v>
      </c>
      <c r="L32" s="19">
        <v>70</v>
      </c>
      <c r="M32" s="17"/>
    </row>
    <row r="33" spans="1:13">
      <c r="A33" s="23">
        <v>46052</v>
      </c>
      <c r="B33" s="17" t="s">
        <v>78</v>
      </c>
      <c r="C33" s="17" t="s">
        <v>101</v>
      </c>
      <c r="D33" s="18">
        <v>46052</v>
      </c>
      <c r="E33" s="17"/>
      <c r="F33" s="24">
        <v>1</v>
      </c>
      <c r="G33" s="17" t="s">
        <v>24</v>
      </c>
      <c r="H33" s="19">
        <v>28.217</v>
      </c>
      <c r="I33" s="19">
        <v>0</v>
      </c>
      <c r="J33" s="19">
        <v>0</v>
      </c>
      <c r="K33" s="19">
        <v>70</v>
      </c>
      <c r="L33" s="19">
        <v>70</v>
      </c>
      <c r="M33" s="17"/>
    </row>
    <row r="34" spans="1:13">
      <c r="A34" s="23">
        <v>46052</v>
      </c>
      <c r="B34" s="17" t="s">
        <v>79</v>
      </c>
      <c r="C34" s="17" t="s">
        <v>101</v>
      </c>
      <c r="D34" s="18">
        <v>46052</v>
      </c>
      <c r="E34" s="17"/>
      <c r="F34" s="24">
        <v>1</v>
      </c>
      <c r="G34" s="17" t="s">
        <v>24</v>
      </c>
      <c r="H34" s="19">
        <v>28.309</v>
      </c>
      <c r="I34" s="19">
        <v>0</v>
      </c>
      <c r="J34" s="19">
        <v>0</v>
      </c>
      <c r="K34" s="19">
        <v>70</v>
      </c>
      <c r="L34" s="19">
        <v>70</v>
      </c>
      <c r="M34" s="17"/>
    </row>
    <row r="35" spans="1:13">
      <c r="A35" s="23">
        <v>46053</v>
      </c>
      <c r="B35" s="17" t="s">
        <v>80</v>
      </c>
      <c r="C35" s="17" t="s">
        <v>101</v>
      </c>
      <c r="D35" s="18">
        <v>46053</v>
      </c>
      <c r="E35" s="17"/>
      <c r="F35" s="24">
        <v>1</v>
      </c>
      <c r="G35" s="17" t="s">
        <v>24</v>
      </c>
      <c r="H35" s="19">
        <v>28.406</v>
      </c>
      <c r="I35" s="19">
        <v>0</v>
      </c>
      <c r="J35" s="19">
        <v>0</v>
      </c>
      <c r="K35" s="19">
        <v>70</v>
      </c>
      <c r="L35" s="19">
        <v>70</v>
      </c>
      <c r="M35" s="17"/>
    </row>
    <row r="36" spans="1:13">
      <c r="F36" s="24">
        <f>SUBTOTAL(109,[days_on_plug])</f>
        <v>0</v>
      </c>
      <c r="H36" s="19">
        <f>SUBTOTAL(109,[tonnage])</f>
        <v>0</v>
      </c>
      <c r="I36" s="19">
        <f>SUBTOTAL(109,[plugin_price])</f>
        <v>0</v>
      </c>
      <c r="J36" s="19">
        <f>SUBTOTAL(109,[monitoring_price])</f>
        <v>0</v>
      </c>
      <c r="K36" s="19">
        <f>SUBTOTAL(109,[storage_price])</f>
        <v>0</v>
      </c>
      <c r="L36" s="19">
        <f>SUBTOTAL(109,[total_price])</f>
        <v>0</v>
      </c>
    </row>
  </sheetData>
  <printOptions horizontalCentered="1"/>
  <pageMargins left="0.25" right="0.25" top="0.6" bottom="0.6" header="0.3" footer="0.3"/>
  <pageSetup paperSize="9" orientation="landscape"/>
  <headerFooter>
    <oddHeader>&amp;C&amp;B&amp;A</oddHeader>
    <oddFooter>&amp;CPage &amp;P of &amp;N</oddFooter>
  </headerFooter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0"/>
  <sheetViews>
    <sheetView showGridLines="0" zoomScale="90" zoomScaleNormal="90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8.7109375" customWidth="1"/>
    <col min="3" max="3" width="12.7109375" customWidth="1"/>
    <col min="4" max="4" width="15.7109375" customWidth="1"/>
    <col min="5" max="5" width="13.7109375" customWidth="1"/>
    <col min="6" max="6" width="8.7109375" customWidth="1"/>
    <col min="7" max="7" width="10.7109375" customWidth="1"/>
    <col min="8" max="9" width="8.7109375" customWidth="1"/>
    <col min="10" max="10" width="6.7109375" customWidth="1"/>
    <col min="11" max="11" width="10.7109375" customWidth="1"/>
    <col min="12" max="12" width="15.7109375" customWidth="1"/>
  </cols>
  <sheetData>
    <row r="1" spans="1:12" ht="24" customHeight="1">
      <c r="A1" s="25" t="s">
        <v>34</v>
      </c>
      <c r="B1" s="25" t="s">
        <v>36</v>
      </c>
      <c r="C1" s="25" t="s">
        <v>35</v>
      </c>
      <c r="D1" s="25" t="s">
        <v>115</v>
      </c>
      <c r="E1" s="25" t="s">
        <v>116</v>
      </c>
      <c r="F1" s="25" t="s">
        <v>117</v>
      </c>
      <c r="G1" s="25" t="s">
        <v>118</v>
      </c>
      <c r="H1" s="25" t="s">
        <v>119</v>
      </c>
      <c r="I1" s="25" t="s">
        <v>120</v>
      </c>
      <c r="J1" s="25" t="s">
        <v>121</v>
      </c>
      <c r="K1" s="25" t="s">
        <v>37</v>
      </c>
      <c r="L1" s="25" t="s">
        <v>122</v>
      </c>
    </row>
    <row r="2" spans="1:12">
      <c r="A2" s="17" t="s">
        <v>49</v>
      </c>
      <c r="B2" s="17" t="s">
        <v>52</v>
      </c>
      <c r="C2" s="18">
        <v>46035</v>
      </c>
      <c r="D2" s="17" t="s">
        <v>123</v>
      </c>
      <c r="E2" s="17" t="s">
        <v>124</v>
      </c>
      <c r="F2" s="17" t="s">
        <v>101</v>
      </c>
      <c r="G2" s="17" t="s">
        <v>111</v>
      </c>
      <c r="H2" s="17" t="s">
        <v>125</v>
      </c>
      <c r="I2" s="17" t="s">
        <v>126</v>
      </c>
      <c r="J2" s="17" t="s">
        <v>21</v>
      </c>
      <c r="K2" s="17" t="s">
        <v>45</v>
      </c>
      <c r="L2" s="19">
        <v>90</v>
      </c>
    </row>
    <row r="3" spans="1:12">
      <c r="A3" s="17" t="s">
        <v>49</v>
      </c>
      <c r="B3" s="17" t="s">
        <v>53</v>
      </c>
      <c r="C3" s="18">
        <v>46035</v>
      </c>
      <c r="D3" s="17" t="s">
        <v>123</v>
      </c>
      <c r="E3" s="17" t="s">
        <v>124</v>
      </c>
      <c r="F3" s="17" t="s">
        <v>101</v>
      </c>
      <c r="G3" s="17" t="s">
        <v>109</v>
      </c>
      <c r="H3" s="17" t="s">
        <v>125</v>
      </c>
      <c r="I3" s="17" t="s">
        <v>126</v>
      </c>
      <c r="J3" s="17" t="s">
        <v>21</v>
      </c>
      <c r="K3" s="17" t="s">
        <v>45</v>
      </c>
      <c r="L3" s="19">
        <v>90</v>
      </c>
    </row>
    <row r="4" spans="1:12">
      <c r="A4" s="17" t="s">
        <v>55</v>
      </c>
      <c r="B4" s="17" t="s">
        <v>100</v>
      </c>
      <c r="C4" s="18">
        <v>46036</v>
      </c>
      <c r="D4" s="17" t="s">
        <v>123</v>
      </c>
      <c r="E4" s="17" t="s">
        <v>124</v>
      </c>
      <c r="F4" s="17" t="s">
        <v>101</v>
      </c>
      <c r="G4" s="17" t="s">
        <v>102</v>
      </c>
      <c r="H4" s="17" t="s">
        <v>125</v>
      </c>
      <c r="I4" s="17" t="s">
        <v>126</v>
      </c>
      <c r="J4" s="17" t="s">
        <v>21</v>
      </c>
      <c r="K4" s="17" t="s">
        <v>45</v>
      </c>
      <c r="L4" s="19">
        <v>90</v>
      </c>
    </row>
    <row r="5" spans="1:12">
      <c r="A5" s="17" t="s">
        <v>55</v>
      </c>
      <c r="B5" s="17" t="s">
        <v>103</v>
      </c>
      <c r="C5" s="18">
        <v>46036</v>
      </c>
      <c r="D5" s="17" t="s">
        <v>123</v>
      </c>
      <c r="E5" s="17" t="s">
        <v>124</v>
      </c>
      <c r="F5" s="17" t="s">
        <v>101</v>
      </c>
      <c r="G5" s="17" t="s">
        <v>104</v>
      </c>
      <c r="H5" s="17" t="s">
        <v>125</v>
      </c>
      <c r="I5" s="17" t="s">
        <v>126</v>
      </c>
      <c r="J5" s="17" t="s">
        <v>21</v>
      </c>
      <c r="K5" s="17" t="s">
        <v>45</v>
      </c>
      <c r="L5" s="19">
        <v>90</v>
      </c>
    </row>
    <row r="6" spans="1:12">
      <c r="A6" s="17" t="s">
        <v>55</v>
      </c>
      <c r="B6" s="17" t="s">
        <v>54</v>
      </c>
      <c r="C6" s="18">
        <v>46043</v>
      </c>
      <c r="D6" s="17" t="s">
        <v>123</v>
      </c>
      <c r="E6" s="17" t="s">
        <v>124</v>
      </c>
      <c r="F6" s="17" t="s">
        <v>101</v>
      </c>
      <c r="G6" s="17" t="s">
        <v>107</v>
      </c>
      <c r="H6" s="17" t="s">
        <v>125</v>
      </c>
      <c r="I6" s="17" t="s">
        <v>126</v>
      </c>
      <c r="J6" s="17" t="s">
        <v>21</v>
      </c>
      <c r="K6" s="17" t="s">
        <v>45</v>
      </c>
      <c r="L6" s="19">
        <v>90</v>
      </c>
    </row>
    <row r="7" spans="1:12">
      <c r="A7" s="17" t="s">
        <v>55</v>
      </c>
      <c r="B7" s="17" t="s">
        <v>105</v>
      </c>
      <c r="C7" s="18">
        <v>46043</v>
      </c>
      <c r="D7" s="17" t="s">
        <v>123</v>
      </c>
      <c r="E7" s="17" t="s">
        <v>124</v>
      </c>
      <c r="F7" s="17" t="s">
        <v>101</v>
      </c>
      <c r="G7" s="17" t="s">
        <v>106</v>
      </c>
      <c r="H7" s="17" t="s">
        <v>125</v>
      </c>
      <c r="I7" s="17" t="s">
        <v>126</v>
      </c>
      <c r="J7" s="17" t="s">
        <v>21</v>
      </c>
      <c r="K7" s="17" t="s">
        <v>45</v>
      </c>
      <c r="L7" s="19">
        <v>90</v>
      </c>
    </row>
    <row r="8" spans="1:12">
      <c r="A8" s="17" t="s">
        <v>55</v>
      </c>
      <c r="B8" s="17" t="s">
        <v>56</v>
      </c>
      <c r="C8" s="18">
        <v>46043</v>
      </c>
      <c r="D8" s="17" t="s">
        <v>123</v>
      </c>
      <c r="E8" s="17" t="s">
        <v>124</v>
      </c>
      <c r="F8" s="17" t="s">
        <v>101</v>
      </c>
      <c r="G8" s="17" t="s">
        <v>113</v>
      </c>
      <c r="H8" s="17" t="s">
        <v>125</v>
      </c>
      <c r="I8" s="17" t="s">
        <v>126</v>
      </c>
      <c r="J8" s="17" t="s">
        <v>21</v>
      </c>
      <c r="K8" s="17" t="s">
        <v>45</v>
      </c>
      <c r="L8" s="19">
        <v>90</v>
      </c>
    </row>
    <row r="9" spans="1:12">
      <c r="A9" s="17" t="s">
        <v>61</v>
      </c>
      <c r="B9" s="17" t="s">
        <v>50</v>
      </c>
      <c r="C9" s="18">
        <v>46053</v>
      </c>
      <c r="D9" s="17" t="s">
        <v>123</v>
      </c>
      <c r="E9" s="17" t="s">
        <v>124</v>
      </c>
      <c r="F9" s="17" t="s">
        <v>101</v>
      </c>
      <c r="G9" s="17" t="s">
        <v>108</v>
      </c>
      <c r="H9" s="17" t="s">
        <v>125</v>
      </c>
      <c r="I9" s="17" t="s">
        <v>126</v>
      </c>
      <c r="J9" s="17" t="s">
        <v>21</v>
      </c>
      <c r="K9" s="17" t="s">
        <v>45</v>
      </c>
      <c r="L9" s="19">
        <v>90</v>
      </c>
    </row>
    <row r="10" spans="1:12">
      <c r="L10" s="19">
        <f>SUBTOTAL(109,[haulage_price])</f>
        <v>0</v>
      </c>
    </row>
  </sheetData>
  <printOptions horizontalCentered="1"/>
  <pageMargins left="0.25" right="0.25" top="0.6" bottom="0.6" header="0.3" footer="0.3"/>
  <pageSetup paperSize="9" orientation="landscape"/>
  <headerFooter>
    <oddHeader>&amp;C&amp;B&amp;A</oddHeader>
    <oddFooter>&amp;CPage &amp;P of &amp;N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Summary</vt:lpstr>
      <vt:lpstr>CCCS Container Stuffing</vt:lpstr>
      <vt:lpstr>Shore Crane</vt:lpstr>
      <vt:lpstr>Live Storage</vt:lpstr>
      <vt:lpstr>Transfer</vt:lpstr>
      <vt:lpstr>Summary!Print_Area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2026-07-20T08:51:17Z</dcterms:created>
  <dcterms:modified xsi:type="dcterms:W3CDTF">2026-07-20T08:51:17Z</dcterms:modified>
</cp:coreProperties>
</file>