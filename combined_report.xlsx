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Net List" sheetId="1" state="visible" r:id="rId1"/>
    <sheet name="Shore Crane" sheetId="2" state="visible" r:id="rId2"/>
  </sheets>
  <definedNames>
    <definedName name="_xlnm.Print_Titles" localSheetId="0">'Net List'!$1:$1</definedName>
    <definedName name="_xlnm.Print_Area" localSheetId="0">'Net List'!$A$1:$M$16</definedName>
    <definedName name="_xlnm.Print_Titles" localSheetId="1">'Shore Crane'!$1:$1</definedName>
    <definedName name="_xlnm.Print_Area" localSheetId="1">'Shore Crane'!$A$1:$J$6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hh:mm"/>
    <numFmt numFmtId="166" formatCode="#,##0.000"/>
    <numFmt numFmtId="167" formatCode="$#,##0.000"/>
    <numFmt numFmtId="168" formatCode="#,###0.000"/>
    <numFmt numFmtId="169" formatCode="_-* #,##0_-;-* #,##0_-;_-* &quot; - &quot;??_-;_-@_-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left" vertical="center"/>
    </xf>
    <xf numFmtId="168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0" fontId="1" fillId="3" borderId="0" applyAlignment="1" pivotButton="0" quotePrefix="0" xfId="0">
      <alignment horizontal="center" vertical="center" wrapText="1"/>
    </xf>
    <xf numFmtId="169" fontId="0" fillId="0" borderId="1" applyAlignment="1" pivotButton="0" quotePrefix="0" xfId="0">
      <alignment horizontal="center" vertical="center"/>
    </xf>
  </cellXfs>
  <cellStyles count="1">
    <cellStyle name="Normal" xfId="0" builtinId="0"/>
  </cellStyles>
  <dxfs count="6">
    <dxf/>
    <dxf>
      <numFmt numFmtId="164" formatCode="yyyy-mm-dd"/>
    </dxf>
    <dxf>
      <numFmt numFmtId="165" formatCode="hh:mm"/>
    </dxf>
    <dxf>
      <numFmt numFmtId="166" formatCode="#,##0.000"/>
    </dxf>
    <dxf>
      <numFmt numFmtId="1" formatCode="0"/>
    </dxf>
    <dxf>
      <numFmt numFmtId="167" formatCode="$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M16" headerRowCount="1" totalsRowCount="1">
  <autoFilter ref="A1:M15"/>
  <tableColumns count="13">
    <tableColumn id="1" name="day_name" dataDxfId="0"/>
    <tableColumn id="2" name="service_date" dataDxfId="1"/>
    <tableColumn id="3" name="vessel" dataDxfId="0"/>
    <tableColumn id="4" name="start_time" dataDxfId="2"/>
    <tableColumn id="5" name="destination" dataDxfId="0"/>
    <tableColumn id="6" name="overtime" dataDxfId="0"/>
    <tableColumn id="7" name="storage_type" dataDxfId="0"/>
    <tableColumn id="8" name="end_time" dataDxfId="2"/>
    <tableColumn id="9" name="total_tonnage" totalsRowFunction="sum" dataDxfId="3"/>
    <tableColumn id="10" name="service" dataDxfId="0"/>
    <tableColumn id="11" name="unit_price" dataDxfId="3"/>
    <tableColumn id="12" name="total_price" totalsRowFunction="sum" dataDxfId="0"/>
    <tableColumn id="13" name="remark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J6" headerRowCount="1" totalsRowCount="1">
  <autoFilter ref="A1:J5"/>
  <tableColumns count="10">
    <tableColumn id="1" name="Day Name" dataDxfId="0"/>
    <tableColumn id="2" name="Date" dataDxfId="1"/>
    <tableColumn id="3" name="Start Time" dataDxfId="2"/>
    <tableColumn id="4" name="End Time" dataDxfId="2"/>
    <tableColumn id="5" name="Hours" totalsRowFunction="sum" dataDxfId="4"/>
    <tableColumn id="6" name="Overtime Hours" dataDxfId="4"/>
    <tableColumn id="7" name="Client" dataDxfId="0"/>
    <tableColumn id="8" name="Price / Hour ($)" dataDxfId="5"/>
    <tableColumn id="9" name="Operation" dataDxfId="0"/>
    <tableColumn id="10" name="Total Price ($)" totalsRowFunction="sum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M16"/>
  <sheetViews>
    <sheetView showGridLines="0" tabSelected="1" view="normal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1" customWidth="1" min="4" max="4"/>
    <col width="20" customWidth="1" min="5" max="5"/>
    <col width="16" customWidth="1" min="6" max="6"/>
    <col width="14" customWidth="1" min="7" max="7"/>
    <col width="11" customWidth="1" min="8" max="8"/>
    <col width="14" customWidth="1" min="9" max="9"/>
    <col width="18" customWidth="1" min="10" max="10"/>
    <col width="12" customWidth="1" min="11" max="11"/>
    <col width="14" customWidth="1" min="12" max="12"/>
    <col width="18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</cols>
  <sheetData>
    <row r="1" ht="24" customHeight="1">
      <c r="A1" s="7" t="inlineStr">
        <is>
          <t>day_name</t>
        </is>
      </c>
      <c r="B1" s="7" t="inlineStr">
        <is>
          <t>service_date</t>
        </is>
      </c>
      <c r="C1" s="7" t="inlineStr">
        <is>
          <t>vessel</t>
        </is>
      </c>
      <c r="D1" s="7" t="inlineStr">
        <is>
          <t>start_time</t>
        </is>
      </c>
      <c r="E1" s="7" t="inlineStr">
        <is>
          <t>destination</t>
        </is>
      </c>
      <c r="F1" s="7" t="inlineStr">
        <is>
          <t>overtime</t>
        </is>
      </c>
      <c r="G1" s="7" t="inlineStr">
        <is>
          <t>storage_type</t>
        </is>
      </c>
      <c r="H1" s="7" t="inlineStr">
        <is>
          <t>end_time</t>
        </is>
      </c>
      <c r="I1" s="7" t="inlineStr">
        <is>
          <t>total_tonnage</t>
        </is>
      </c>
      <c r="J1" s="7" t="inlineStr">
        <is>
          <t>service</t>
        </is>
      </c>
      <c r="K1" s="7" t="inlineStr">
        <is>
          <t>unit_price</t>
        </is>
      </c>
      <c r="L1" s="7" t="inlineStr">
        <is>
          <t>total_price</t>
        </is>
      </c>
      <c r="M1" s="7" t="inlineStr">
        <is>
          <t>remarks</t>
        </is>
      </c>
    </row>
    <row r="2">
      <c r="A2" s="8" t="inlineStr">
        <is>
          <t>Mon</t>
        </is>
      </c>
      <c r="B2" s="9" t="n">
        <v>46076</v>
      </c>
      <c r="C2" s="10" t="inlineStr">
        <is>
          <t>TORRE ITALIA</t>
        </is>
      </c>
      <c r="D2" s="11" t="n">
        <v>0.3444444444444444</v>
      </c>
      <c r="E2" s="10" t="inlineStr">
        <is>
          <t>CCCS (CFTO)</t>
        </is>
      </c>
      <c r="F2" s="12" t="inlineStr">
        <is>
          <t>normal hours</t>
        </is>
      </c>
      <c r="G2" s="10" t="inlineStr">
        <is>
          <t>Brine</t>
        </is>
      </c>
      <c r="H2" s="11" t="n">
        <v>0.7069444444444445</v>
      </c>
      <c r="I2" s="13" t="n">
        <v>118.033</v>
      </c>
      <c r="J2" s="10" t="inlineStr">
        <is>
          <t>Unload to CCCS</t>
        </is>
      </c>
      <c r="K2" s="14" t="n">
        <v>29.25</v>
      </c>
      <c r="L2" s="15" t="n">
        <v>3452.465</v>
      </c>
      <c r="M2" s="10" t="n"/>
    </row>
    <row r="3">
      <c r="A3" s="8" t="inlineStr">
        <is>
          <t>Mon</t>
        </is>
      </c>
      <c r="B3" s="9" t="n">
        <v>46076</v>
      </c>
      <c r="C3" s="10" t="inlineStr">
        <is>
          <t>TORRE ITALIA</t>
        </is>
      </c>
      <c r="D3" s="11" t="n">
        <v>0.7152777777777778</v>
      </c>
      <c r="E3" s="10" t="inlineStr">
        <is>
          <t>CCCS (CFTO)</t>
        </is>
      </c>
      <c r="F3" s="12" t="inlineStr">
        <is>
          <t>overtime 150%</t>
        </is>
      </c>
      <c r="G3" s="10" t="inlineStr">
        <is>
          <t>Brine</t>
        </is>
      </c>
      <c r="H3" s="11" t="n">
        <v>0.7486111111111111</v>
      </c>
      <c r="I3" s="13" t="n">
        <v>31.548</v>
      </c>
      <c r="J3" s="10" t="inlineStr">
        <is>
          <t>Unload to CCCS</t>
        </is>
      </c>
      <c r="K3" s="14" t="n">
        <v>29.25</v>
      </c>
      <c r="L3" s="15" t="n">
        <v>1384.169</v>
      </c>
      <c r="M3" s="10" t="n"/>
    </row>
    <row r="4">
      <c r="A4" s="8" t="inlineStr">
        <is>
          <t>Mon</t>
        </is>
      </c>
      <c r="B4" s="9" t="n">
        <v>46076</v>
      </c>
      <c r="C4" s="10" t="inlineStr">
        <is>
          <t>TORRE ITALIA</t>
        </is>
      </c>
      <c r="D4" s="11" t="n">
        <v>0.4736111111111111</v>
      </c>
      <c r="E4" s="10" t="inlineStr">
        <is>
          <t>Unload to Quay</t>
        </is>
      </c>
      <c r="F4" s="12" t="inlineStr">
        <is>
          <t>normal hours</t>
        </is>
      </c>
      <c r="G4" s="10" t="inlineStr">
        <is>
          <t>Brine</t>
        </is>
      </c>
      <c r="H4" s="11" t="n">
        <v>0.6652777777777777</v>
      </c>
      <c r="I4" s="13" t="n">
        <v>26.25</v>
      </c>
      <c r="J4" s="10" t="inlineStr">
        <is>
          <t>Unload to Quay</t>
        </is>
      </c>
      <c r="K4" s="14" t="n">
        <v>18.25</v>
      </c>
      <c r="L4" s="15" t="n">
        <v>479.063</v>
      </c>
      <c r="M4" s="10" t="n"/>
    </row>
    <row r="5">
      <c r="A5" s="8" t="inlineStr">
        <is>
          <t>Mon</t>
        </is>
      </c>
      <c r="B5" s="9" t="n">
        <v>46076</v>
      </c>
      <c r="C5" s="10" t="inlineStr">
        <is>
          <t>TORRE ITALIA</t>
        </is>
      </c>
      <c r="D5" s="11" t="n">
        <v>0.7326388888888888</v>
      </c>
      <c r="E5" s="10" t="inlineStr">
        <is>
          <t>Unload to Quay</t>
        </is>
      </c>
      <c r="F5" s="12" t="inlineStr">
        <is>
          <t>overtime 150%</t>
        </is>
      </c>
      <c r="G5" s="10" t="inlineStr">
        <is>
          <t>Brine</t>
        </is>
      </c>
      <c r="H5" s="11" t="n">
        <v>0.7527777777777778</v>
      </c>
      <c r="I5" s="13" t="n">
        <v>8.73</v>
      </c>
      <c r="J5" s="10" t="inlineStr">
        <is>
          <t>Unload to Quay</t>
        </is>
      </c>
      <c r="K5" s="14" t="n">
        <v>18.25</v>
      </c>
      <c r="L5" s="15" t="n">
        <v>238.984</v>
      </c>
      <c r="M5" s="10" t="n"/>
    </row>
    <row r="6">
      <c r="A6" s="8" t="inlineStr">
        <is>
          <t>Tue</t>
        </is>
      </c>
      <c r="B6" s="9" t="n">
        <v>46077</v>
      </c>
      <c r="C6" s="10" t="inlineStr">
        <is>
          <t>TORRE ITALIA</t>
        </is>
      </c>
      <c r="D6" s="11" t="n">
        <v>0.34375</v>
      </c>
      <c r="E6" s="10" t="inlineStr">
        <is>
          <t>CCCS (CFTO)</t>
        </is>
      </c>
      <c r="F6" s="12" t="inlineStr">
        <is>
          <t>normal hours</t>
        </is>
      </c>
      <c r="G6" s="10" t="inlineStr">
        <is>
          <t>Brine</t>
        </is>
      </c>
      <c r="H6" s="11" t="n">
        <v>0.7013888888888888</v>
      </c>
      <c r="I6" s="13" t="n">
        <v>229.006</v>
      </c>
      <c r="J6" s="10" t="inlineStr">
        <is>
          <t>Unload to CCCS</t>
        </is>
      </c>
      <c r="K6" s="14" t="n">
        <v>29.25</v>
      </c>
      <c r="L6" s="15" t="n">
        <v>6698.426</v>
      </c>
      <c r="M6" s="10" t="n"/>
    </row>
    <row r="7">
      <c r="A7" s="8" t="inlineStr">
        <is>
          <t>Tue</t>
        </is>
      </c>
      <c r="B7" s="9" t="n">
        <v>46077</v>
      </c>
      <c r="C7" s="10" t="inlineStr">
        <is>
          <t>TORRE ITALIA</t>
        </is>
      </c>
      <c r="D7" s="11" t="n">
        <v>0.7090277777777778</v>
      </c>
      <c r="E7" s="10" t="inlineStr">
        <is>
          <t>CCCS (CFTO)</t>
        </is>
      </c>
      <c r="F7" s="12" t="inlineStr">
        <is>
          <t>overtime 150%</t>
        </is>
      </c>
      <c r="G7" s="10" t="inlineStr">
        <is>
          <t>Brine</t>
        </is>
      </c>
      <c r="H7" s="11" t="n">
        <v>0.7375</v>
      </c>
      <c r="I7" s="13" t="n">
        <v>34.945</v>
      </c>
      <c r="J7" s="10" t="inlineStr">
        <is>
          <t>Unload to CCCS</t>
        </is>
      </c>
      <c r="K7" s="14" t="n">
        <v>29.25</v>
      </c>
      <c r="L7" s="15" t="n">
        <v>1533.212</v>
      </c>
      <c r="M7" s="10" t="n"/>
    </row>
    <row r="8">
      <c r="A8" s="8" t="inlineStr">
        <is>
          <t>Tue</t>
        </is>
      </c>
      <c r="B8" s="9" t="n">
        <v>46077</v>
      </c>
      <c r="C8" s="10" t="inlineStr">
        <is>
          <t>TORRE ITALIA</t>
        </is>
      </c>
      <c r="D8" s="11" t="n">
        <v>0.7430555555555556</v>
      </c>
      <c r="E8" s="10" t="inlineStr">
        <is>
          <t>Unload to Quay</t>
        </is>
      </c>
      <c r="F8" s="12" t="inlineStr">
        <is>
          <t>overtime 150%</t>
        </is>
      </c>
      <c r="G8" s="10" t="inlineStr">
        <is>
          <t>Brine</t>
        </is>
      </c>
      <c r="H8" s="11" t="n">
        <v>0.7472222222222222</v>
      </c>
      <c r="I8" s="13" t="n">
        <v>4.23</v>
      </c>
      <c r="J8" s="10" t="inlineStr">
        <is>
          <t>Unload to Quay</t>
        </is>
      </c>
      <c r="K8" s="14" t="n">
        <v>18.25</v>
      </c>
      <c r="L8" s="15" t="n">
        <v>115.796</v>
      </c>
      <c r="M8" s="10" t="n"/>
    </row>
    <row r="9">
      <c r="A9" s="8" t="inlineStr">
        <is>
          <t>Tue</t>
        </is>
      </c>
      <c r="B9" s="9" t="n">
        <v>46077</v>
      </c>
      <c r="C9" s="10" t="inlineStr">
        <is>
          <t>TORRE ITALIA</t>
        </is>
      </c>
      <c r="D9" s="11" t="n">
        <v>0.4861111111111111</v>
      </c>
      <c r="E9" s="10" t="inlineStr">
        <is>
          <t>Unload to Quay</t>
        </is>
      </c>
      <c r="F9" s="12" t="inlineStr">
        <is>
          <t>normal hours</t>
        </is>
      </c>
      <c r="G9" s="10" t="inlineStr">
        <is>
          <t>Brine</t>
        </is>
      </c>
      <c r="H9" s="11" t="n">
        <v>0.6375</v>
      </c>
      <c r="I9" s="13" t="n">
        <v>11.59</v>
      </c>
      <c r="J9" s="10" t="inlineStr">
        <is>
          <t>Unload to Quay</t>
        </is>
      </c>
      <c r="K9" s="14" t="n">
        <v>18.25</v>
      </c>
      <c r="L9" s="15" t="n">
        <v>211.517</v>
      </c>
      <c r="M9" s="10" t="n"/>
    </row>
    <row r="10">
      <c r="A10" s="8" t="inlineStr">
        <is>
          <t>Wed</t>
        </is>
      </c>
      <c r="B10" s="9" t="n">
        <v>46078</v>
      </c>
      <c r="C10" s="10" t="inlineStr">
        <is>
          <t>TORRE ITALIA</t>
        </is>
      </c>
      <c r="D10" s="11" t="n">
        <v>0.3409722222222222</v>
      </c>
      <c r="E10" s="10" t="inlineStr">
        <is>
          <t>CCCS (CFTO)</t>
        </is>
      </c>
      <c r="F10" s="12" t="inlineStr">
        <is>
          <t>normal hours</t>
        </is>
      </c>
      <c r="G10" s="10" t="inlineStr">
        <is>
          <t>Brine</t>
        </is>
      </c>
      <c r="H10" s="11" t="n">
        <v>0.7069444444444445</v>
      </c>
      <c r="I10" s="13" t="n">
        <v>216.552</v>
      </c>
      <c r="J10" s="10" t="inlineStr">
        <is>
          <t>Unload to CCCS</t>
        </is>
      </c>
      <c r="K10" s="14" t="n">
        <v>29.25</v>
      </c>
      <c r="L10" s="15" t="n">
        <v>6334.146</v>
      </c>
      <c r="M10" s="10" t="n"/>
    </row>
    <row r="11">
      <c r="A11" s="8" t="inlineStr">
        <is>
          <t>Wed</t>
        </is>
      </c>
      <c r="B11" s="9" t="n">
        <v>46078</v>
      </c>
      <c r="C11" s="10" t="inlineStr">
        <is>
          <t>TORRE ITALIA</t>
        </is>
      </c>
      <c r="D11" s="11" t="n">
        <v>0.7104166666666667</v>
      </c>
      <c r="E11" s="10" t="inlineStr">
        <is>
          <t>CCCS (CFTO)</t>
        </is>
      </c>
      <c r="F11" s="12" t="inlineStr">
        <is>
          <t>overtime 150%</t>
        </is>
      </c>
      <c r="G11" s="10" t="inlineStr">
        <is>
          <t>Brine</t>
        </is>
      </c>
      <c r="H11" s="11" t="n">
        <v>0.7284722222222222</v>
      </c>
      <c r="I11" s="13" t="n">
        <v>32.831</v>
      </c>
      <c r="J11" s="10" t="inlineStr">
        <is>
          <t>Unload to CCCS</t>
        </is>
      </c>
      <c r="K11" s="14" t="n">
        <v>29.25</v>
      </c>
      <c r="L11" s="15" t="n">
        <v>1440.46</v>
      </c>
      <c r="M11" s="10" t="n"/>
    </row>
    <row r="12">
      <c r="A12" s="8" t="inlineStr">
        <is>
          <t>Wed</t>
        </is>
      </c>
      <c r="B12" s="9" t="n">
        <v>46078</v>
      </c>
      <c r="C12" s="10" t="inlineStr">
        <is>
          <t>TORRE ITALIA</t>
        </is>
      </c>
      <c r="D12" s="11" t="n">
        <v>0.5208333333333334</v>
      </c>
      <c r="E12" s="10" t="inlineStr">
        <is>
          <t>Unload to Quay</t>
        </is>
      </c>
      <c r="F12" s="12" t="inlineStr">
        <is>
          <t>normal hours</t>
        </is>
      </c>
      <c r="G12" s="10" t="inlineStr">
        <is>
          <t>Brine</t>
        </is>
      </c>
      <c r="H12" s="11" t="n">
        <v>0.5340277777777778</v>
      </c>
      <c r="I12" s="13" t="n">
        <v>10.48</v>
      </c>
      <c r="J12" s="10" t="inlineStr">
        <is>
          <t>Unload to Quay</t>
        </is>
      </c>
      <c r="K12" s="14" t="n">
        <v>18.25</v>
      </c>
      <c r="L12" s="15" t="n">
        <v>191.26</v>
      </c>
      <c r="M12" s="10" t="n"/>
    </row>
    <row r="13">
      <c r="A13" s="8" t="inlineStr">
        <is>
          <t>Wed</t>
        </is>
      </c>
      <c r="B13" s="9" t="n">
        <v>46078</v>
      </c>
      <c r="C13" s="10" t="inlineStr">
        <is>
          <t>TORRE ITALIA</t>
        </is>
      </c>
      <c r="D13" s="11" t="n">
        <v>0.7340277777777777</v>
      </c>
      <c r="E13" s="10" t="inlineStr">
        <is>
          <t>Unload to Quay</t>
        </is>
      </c>
      <c r="F13" s="12" t="inlineStr">
        <is>
          <t>overtime 150%</t>
        </is>
      </c>
      <c r="G13" s="10" t="inlineStr">
        <is>
          <t>Brine</t>
        </is>
      </c>
      <c r="H13" s="11" t="n">
        <v>0.7548611111111111</v>
      </c>
      <c r="I13" s="13" t="n">
        <v>8.619999999999999</v>
      </c>
      <c r="J13" s="10" t="inlineStr">
        <is>
          <t>Unload to Quay</t>
        </is>
      </c>
      <c r="K13" s="14" t="n">
        <v>18.25</v>
      </c>
      <c r="L13" s="15" t="n">
        <v>235.972</v>
      </c>
      <c r="M13" s="10" t="n"/>
    </row>
    <row r="14">
      <c r="A14" s="8" t="inlineStr">
        <is>
          <t>Thu</t>
        </is>
      </c>
      <c r="B14" s="9" t="n">
        <v>46079</v>
      </c>
      <c r="C14" s="10" t="inlineStr">
        <is>
          <t>TORRE ITALIA</t>
        </is>
      </c>
      <c r="D14" s="11" t="n">
        <v>0.3465277777777778</v>
      </c>
      <c r="E14" s="10" t="inlineStr">
        <is>
          <t>CCCS (CFTO)</t>
        </is>
      </c>
      <c r="F14" s="12" t="inlineStr">
        <is>
          <t>normal hours</t>
        </is>
      </c>
      <c r="G14" s="10" t="inlineStr">
        <is>
          <t>Brine</t>
        </is>
      </c>
      <c r="H14" s="11" t="n">
        <v>0.6083333333333333</v>
      </c>
      <c r="I14" s="13" t="n">
        <v>158.178</v>
      </c>
      <c r="J14" s="10" t="inlineStr">
        <is>
          <t>Unload to CCCS</t>
        </is>
      </c>
      <c r="K14" s="14" t="n">
        <v>29.25</v>
      </c>
      <c r="L14" s="15" t="n">
        <v>4626.707</v>
      </c>
      <c r="M14" s="10" t="n"/>
    </row>
    <row r="15">
      <c r="A15" s="8" t="inlineStr">
        <is>
          <t>Thu</t>
        </is>
      </c>
      <c r="B15" s="9" t="n">
        <v>46079</v>
      </c>
      <c r="C15" s="10" t="inlineStr">
        <is>
          <t>TORRE ITALIA</t>
        </is>
      </c>
      <c r="D15" s="11" t="n">
        <v>0.5173611111111112</v>
      </c>
      <c r="E15" s="10" t="inlineStr">
        <is>
          <t>Unload to Quay</t>
        </is>
      </c>
      <c r="F15" s="12" t="inlineStr">
        <is>
          <t>normal hours</t>
        </is>
      </c>
      <c r="G15" s="10" t="inlineStr">
        <is>
          <t>Brine</t>
        </is>
      </c>
      <c r="H15" s="11" t="n">
        <v>0.5263888888888889</v>
      </c>
      <c r="I15" s="13" t="n">
        <v>7.35</v>
      </c>
      <c r="J15" s="10" t="inlineStr">
        <is>
          <t>Unload to Quay</t>
        </is>
      </c>
      <c r="K15" s="14" t="n">
        <v>18.25</v>
      </c>
      <c r="L15" s="15" t="n">
        <v>134.138</v>
      </c>
      <c r="M15" s="10" t="n"/>
    </row>
    <row r="16">
      <c r="A16" s="8" t="n"/>
      <c r="B16" s="9" t="n"/>
      <c r="C16" s="10" t="n"/>
      <c r="D16" s="11" t="n"/>
      <c r="E16" s="10" t="n"/>
      <c r="F16" s="12" t="n"/>
      <c r="G16" s="10" t="n"/>
      <c r="H16" s="11" t="n"/>
      <c r="I16" s="13">
        <f>SUBTOTAL(109,[total_tonnage])</f>
        <v/>
      </c>
      <c r="J16" s="10" t="n"/>
      <c r="K16" s="14" t="n"/>
      <c r="L16" s="15">
        <f>SUBTOTAL(109,[total_price])</f>
        <v/>
      </c>
      <c r="M16" s="10" t="n"/>
    </row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</sheetData>
  <printOptions horizontalCentered="1" verticalCentered="0"/>
  <pageMargins left="0.25" right="0.25" top="0.6" bottom="0.5" header="0.3" footer="0.2"/>
  <pageSetup orientation="landscape" paperSize="9" fitToHeight="0" fitToWidth="1"/>
  <headerFooter>
    <oddHeader>&amp;C&amp;"Calibri,Bold"&amp;12 STO&amp;R&amp;"Calibri"&amp;10 TORRE ITALIA | 23-Feb-2026 to 26-Feb-2026</oddHeader>
    <oddFooter>&amp;C&amp;"Calibri"&amp;10 Net List&amp;RPage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J6"/>
  <sheetViews>
    <sheetView showGridLines="0" view="normal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2" customWidth="1" min="4" max="4"/>
    <col width="8" customWidth="1" min="5" max="5"/>
    <col width="15" customWidth="1" min="6" max="6"/>
    <col width="22" customWidth="1" min="7" max="7"/>
    <col width="16" customWidth="1" min="8" max="8"/>
    <col width="28" customWidth="1" min="9" max="9"/>
    <col width="16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</cols>
  <sheetData>
    <row r="1" ht="24" customHeight="1">
      <c r="A1" s="16" t="inlineStr">
        <is>
          <t>Day Name</t>
        </is>
      </c>
      <c r="B1" s="16" t="inlineStr">
        <is>
          <t>Date</t>
        </is>
      </c>
      <c r="C1" s="16" t="inlineStr">
        <is>
          <t>Start Time</t>
        </is>
      </c>
      <c r="D1" s="16" t="inlineStr">
        <is>
          <t>End Time</t>
        </is>
      </c>
      <c r="E1" s="16" t="inlineStr">
        <is>
          <t>Hours</t>
        </is>
      </c>
      <c r="F1" s="16" t="inlineStr">
        <is>
          <t>Overtime Hours</t>
        </is>
      </c>
      <c r="G1" s="16" t="inlineStr">
        <is>
          <t>Client</t>
        </is>
      </c>
      <c r="H1" s="16" t="inlineStr">
        <is>
          <t>Price / Hour ($)</t>
        </is>
      </c>
      <c r="I1" s="16" t="inlineStr">
        <is>
          <t>Operation</t>
        </is>
      </c>
      <c r="J1" s="16" t="inlineStr">
        <is>
          <t>Total Price ($)</t>
        </is>
      </c>
    </row>
    <row r="2">
      <c r="A2" s="8" t="inlineStr">
        <is>
          <t>Mon</t>
        </is>
      </c>
      <c r="B2" s="9" t="n">
        <v>46076</v>
      </c>
      <c r="C2" s="11" t="n">
        <v>0.3333333333333333</v>
      </c>
      <c r="D2" s="11" t="n">
        <v>0.7527777777777778</v>
      </c>
      <c r="E2" s="17" t="n">
        <v>11</v>
      </c>
      <c r="F2" s="17" t="n">
        <v>2</v>
      </c>
      <c r="G2" s="10" t="inlineStr">
        <is>
          <t>TORRE ITALIA</t>
        </is>
      </c>
      <c r="H2" s="14" t="n">
        <v>135</v>
      </c>
      <c r="I2" s="10" t="inlineStr">
        <is>
          <t>Loading to CCCS</t>
        </is>
      </c>
      <c r="J2" s="13" t="n">
        <v>1620</v>
      </c>
    </row>
    <row r="3">
      <c r="A3" s="8" t="inlineStr">
        <is>
          <t>Tue</t>
        </is>
      </c>
      <c r="B3" s="9" t="n">
        <v>46077</v>
      </c>
      <c r="C3" s="11" t="n">
        <v>0.3333333333333333</v>
      </c>
      <c r="D3" s="11" t="n">
        <v>0.7472222222222222</v>
      </c>
      <c r="E3" s="17" t="n">
        <v>10</v>
      </c>
      <c r="F3" s="17" t="n">
        <v>1</v>
      </c>
      <c r="G3" s="10" t="inlineStr">
        <is>
          <t>TORRE ITALIA</t>
        </is>
      </c>
      <c r="H3" s="14" t="n">
        <v>135</v>
      </c>
      <c r="I3" s="10" t="inlineStr">
        <is>
          <t>Loading to CCCS</t>
        </is>
      </c>
      <c r="J3" s="13" t="n">
        <v>1417.5</v>
      </c>
    </row>
    <row r="4">
      <c r="A4" s="8" t="inlineStr">
        <is>
          <t>Wed</t>
        </is>
      </c>
      <c r="B4" s="9" t="n">
        <v>46078</v>
      </c>
      <c r="C4" s="11" t="n">
        <v>0.3333333333333333</v>
      </c>
      <c r="D4" s="11" t="n">
        <v>0.7548611111111111</v>
      </c>
      <c r="E4" s="17" t="n">
        <v>11</v>
      </c>
      <c r="F4" s="17" t="n">
        <v>2</v>
      </c>
      <c r="G4" s="10" t="inlineStr">
        <is>
          <t>TORRE ITALIA</t>
        </is>
      </c>
      <c r="H4" s="14" t="n">
        <v>135</v>
      </c>
      <c r="I4" s="10" t="inlineStr">
        <is>
          <t>Loading to CCCS</t>
        </is>
      </c>
      <c r="J4" s="13" t="n">
        <v>1620</v>
      </c>
    </row>
    <row r="5">
      <c r="A5" s="8" t="inlineStr">
        <is>
          <t>Thu</t>
        </is>
      </c>
      <c r="B5" s="9" t="n">
        <v>46079</v>
      </c>
      <c r="C5" s="11" t="n">
        <v>0.3333333333333333</v>
      </c>
      <c r="D5" s="11" t="n">
        <v>0.6083333333333333</v>
      </c>
      <c r="E5" s="17" t="n">
        <v>7</v>
      </c>
      <c r="F5" s="17" t="n">
        <v>0</v>
      </c>
      <c r="G5" s="10" t="inlineStr">
        <is>
          <t>TORRE ITALIA</t>
        </is>
      </c>
      <c r="H5" s="14" t="n">
        <v>135</v>
      </c>
      <c r="I5" s="10" t="inlineStr">
        <is>
          <t>Loading to CCCS</t>
        </is>
      </c>
      <c r="J5" s="13" t="n">
        <v>945</v>
      </c>
    </row>
    <row r="6">
      <c r="A6" s="8" t="n"/>
      <c r="B6" s="9" t="n"/>
      <c r="C6" s="11" t="n"/>
      <c r="D6" s="11" t="n"/>
      <c r="E6" s="17">
        <f>SUBTOTAL(109,[Hours])</f>
        <v/>
      </c>
      <c r="F6" s="17" t="n"/>
      <c r="G6" s="10" t="n"/>
      <c r="H6" s="14" t="n"/>
      <c r="I6" s="10" t="n"/>
      <c r="J6" s="13">
        <f>SUBTOTAL(109,[Total Price ($)])</f>
        <v/>
      </c>
    </row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</sheetData>
  <printOptions horizontalCentered="1" verticalCentered="0"/>
  <pageMargins left="0.25" right="0.25" top="0.6" bottom="0.5" header="0.3" footer="0.2"/>
  <pageSetup orientation="landscape" paperSize="9" fitToHeight="0" fitToWidth="1"/>
  <headerFooter>
    <oddHeader>&amp;C&amp;"Calibri,Bold"&amp;12 STO&amp;R&amp;"Calibri"&amp;10 TORRE ITALIA | 23-Feb-2026 to 26-Feb-2026</oddHeader>
    <oddFooter>&amp;C&amp;"Calibri"&amp;10 Shore Crane&amp;RPage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2026-04-19T03:27:05Z</dcterms:created>
  <dcterms:modified xsi:type="dcterms:W3CDTF">2026-04-19T03:27:05Z</dcterms:modified>
</cp:coreProperties>
</file>