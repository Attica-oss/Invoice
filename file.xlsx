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ounac\Invoice\"/>
    </mc:Choice>
  </mc:AlternateContent>
  <xr:revisionPtr revIDLastSave="0" documentId="13_ncr:1_{3CB232D4-8938-48A4-83DE-3E3BF8BDA6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</calcChain>
</file>

<file path=xl/sharedStrings.xml><?xml version="1.0" encoding="utf-8"?>
<sst xmlns="http://schemas.openxmlformats.org/spreadsheetml/2006/main" count="95" uniqueCount="42">
  <si>
    <t>day</t>
  </si>
  <si>
    <t>date</t>
  </si>
  <si>
    <t>vessel</t>
  </si>
  <si>
    <t>start_time</t>
  </si>
  <si>
    <t>end_time</t>
  </si>
  <si>
    <t>total_duration</t>
  </si>
  <si>
    <t>overtime_for_normal_services</t>
  </si>
  <si>
    <t>overtime_for_extended_services</t>
  </si>
  <si>
    <t>normal_hour_services</t>
  </si>
  <si>
    <t>Tue</t>
  </si>
  <si>
    <t>IZURDIA</t>
  </si>
  <si>
    <t>Thu</t>
  </si>
  <si>
    <t>ALBACORA CUATRO</t>
  </si>
  <si>
    <t>Fri</t>
  </si>
  <si>
    <t>DONIENE</t>
  </si>
  <si>
    <t>Sat</t>
  </si>
  <si>
    <t>LAYLA</t>
  </si>
  <si>
    <t>ACILA</t>
  </si>
  <si>
    <t>TXORI ARGI</t>
  </si>
  <si>
    <t>ELAI ALAI</t>
  </si>
  <si>
    <t>Mon</t>
  </si>
  <si>
    <t>NOUR</t>
  </si>
  <si>
    <t>BERNICA</t>
  </si>
  <si>
    <t>Wed</t>
  </si>
  <si>
    <t>TXORI ZURI</t>
  </si>
  <si>
    <t>ITSAS TXORI</t>
  </si>
  <si>
    <t>PH</t>
  </si>
  <si>
    <t>HAWWA</t>
  </si>
  <si>
    <t>Sun</t>
  </si>
  <si>
    <t>EUSKADI ALAI</t>
  </si>
  <si>
    <t>IZARO</t>
  </si>
  <si>
    <t>FRANCHE TERRE</t>
  </si>
  <si>
    <t>ATERPE ALAI</t>
  </si>
  <si>
    <t>VASCO</t>
  </si>
  <si>
    <t>normal</t>
  </si>
  <si>
    <t>overtime_150</t>
  </si>
  <si>
    <t>Overtime 200</t>
  </si>
  <si>
    <t>Overtime 201</t>
  </si>
  <si>
    <t>PLAYA DE RIS</t>
  </si>
  <si>
    <t>TXORI BERRI</t>
  </si>
  <si>
    <t>ALAKRANA</t>
  </si>
  <si>
    <t>ADAMAS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</si>
</sst>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h:mm:ss;@"/>
    <numFmt numFmtId="167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7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[$-F400]h:mm:ss\ AM/PM"/>
    </dxf>
    <dxf>
      <numFmt numFmtId="167" formatCode="[$-F400]h:mm:ss\ AM/PM"/>
    </dxf>
    <dxf>
      <numFmt numFmtId="167" formatCode="[$-F400]h:mm:ss\ AM/PM"/>
    </dxf>
    <dxf>
      <numFmt numFmtId="167" formatCode="[$-F400]h:mm:ss\ AM/PM"/>
    </dxf>
    <dxf>
      <numFmt numFmtId="165" formatCode="hh:mm:ss;@"/>
    </dxf>
    <dxf>
      <numFmt numFmtId="165" formatCode="hh:mm:ss;@"/>
    </dxf>
    <dxf>
      <numFmt numFmtId="164" formatCode="yyyy\-mm\-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M42" totalsRowShown="0">
  <autoFilter ref="A1:M42" xr:uid="{00000000-0009-0000-0100-000001000000}"/>
  <tableColumns count="13">
    <tableColumn id="1" xr3:uid="{00000000-0010-0000-0000-000001000000}" name="day"/>
    <tableColumn id="2" xr3:uid="{00000000-0010-0000-0000-000002000000}" name="date" dataDxfId="10"/>
    <tableColumn id="3" xr3:uid="{00000000-0010-0000-0000-000003000000}" name="vessel"/>
    <tableColumn id="4" xr3:uid="{00000000-0010-0000-0000-000004000000}" name="start_time" dataDxfId="9"/>
    <tableColumn id="5" xr3:uid="{00000000-0010-0000-0000-000005000000}" name="end_time" dataDxfId="8"/>
    <tableColumn id="6" xr3:uid="{00000000-0010-0000-0000-000006000000}" name="total_duration" dataDxfId="7"/>
    <tableColumn id="7" xr3:uid="{00000000-0010-0000-0000-000007000000}" name="overtime_for_normal_services" dataDxfId="6"/>
    <tableColumn id="8" xr3:uid="{00000000-0010-0000-0000-000008000000}" name="overtime_for_extended_services" dataDxfId="5"/>
    <tableColumn id="9" xr3:uid="{00000000-0010-0000-0000-000009000000}" name="normal_hour_services" dataDxfId="4"/>
    <tableColumn id="10" xr3:uid="{1A7E91AC-A198-4D85-AA0D-B56114C3E856}" name="normal" dataDxfId="3"/>
    <tableColumn id="11" xr3:uid="{39B32CC3-7096-45B7-B353-DC450DBAC699}" name="overtime_150" dataDxfId="2"/>
    <tableColumn id="12" xr3:uid="{23367714-8BF9-4798-ABFF-B309F729818A}" name="Overtime 200" dataDxfId="1"/>
    <tableColumn id="13" xr3:uid="{2E98B6B3-D6CA-4000-A619-C079110B1040}" name="Overtime 201" dataDxfId="0">
      <calculatedColumnFormula>(Frame0[[#This Row],[normal]]*30)+(Frame0[[#This Row],[overtime_150]]*45)+(Frame0[[#This Row],[Overtime 200]]*60)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A16" workbookViewId="0">
      <selection activeCell="M25" sqref="M25:M42"/>
    </sheetView>
  </sheetViews>
  <sheetFormatPr defaultRowHeight="15" x14ac:dyDescent="0.25"/>
  <cols>
    <col min="2" max="2" width="14.42578125" customWidth="1"/>
    <col min="7" max="7" width="31" bestFit="1" customWidth="1"/>
    <col min="8" max="8" width="33.42578125" bestFit="1" customWidth="1"/>
    <col min="9" max="9" width="23.140625" bestFit="1" customWidth="1"/>
    <col min="10" max="10" width="18.42578125" customWidth="1"/>
    <col min="11" max="11" width="15" customWidth="1"/>
    <col min="12" max="12" width="13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34</v>
      </c>
      <c r="K1" t="s">
        <v>35</v>
      </c>
      <c r="L1" t="s">
        <v>36</v>
      </c>
      <c r="M1" t="s">
        <v>37</v>
      </c>
    </row>
    <row r="2" spans="1:13" x14ac:dyDescent="0.25">
      <c r="A2" s="1" t="s">
        <v>9</v>
      </c>
      <c r="B2" s="2">
        <v>45748</v>
      </c>
      <c r="C2" s="1" t="s">
        <v>10</v>
      </c>
      <c r="D2" s="3">
        <v>0.75</v>
      </c>
      <c r="E2" s="3">
        <v>0.96180555555555558</v>
      </c>
      <c r="F2" s="4">
        <v>0.21180555555555561</v>
      </c>
      <c r="G2" s="4">
        <v>0.21180555555555561</v>
      </c>
      <c r="H2" s="4">
        <v>0</v>
      </c>
      <c r="I2" s="4">
        <v>0</v>
      </c>
      <c r="J2" s="6">
        <v>0</v>
      </c>
      <c r="K2" s="6">
        <v>6</v>
      </c>
      <c r="L2" s="6">
        <v>0</v>
      </c>
      <c r="M2" s="6">
        <f>(Frame0[[#This Row],[normal]]*30)+(Frame0[[#This Row],[overtime_150]]*45)+(Frame0[[#This Row],[Overtime 200]]*60)</f>
        <v>270</v>
      </c>
    </row>
    <row r="3" spans="1:13" x14ac:dyDescent="0.25">
      <c r="A3" s="1" t="s">
        <v>11</v>
      </c>
      <c r="B3" s="2">
        <v>45750</v>
      </c>
      <c r="C3" s="1" t="s">
        <v>12</v>
      </c>
      <c r="D3" s="3">
        <v>0.73611111111111116</v>
      </c>
      <c r="E3" s="3">
        <v>0.83750000000000002</v>
      </c>
      <c r="F3" s="4">
        <v>0.1013888888888889</v>
      </c>
      <c r="G3" s="4">
        <v>0.1013888888888889</v>
      </c>
      <c r="H3" s="4">
        <v>0</v>
      </c>
      <c r="I3" s="4">
        <v>0</v>
      </c>
      <c r="J3" s="6">
        <v>0</v>
      </c>
      <c r="K3" s="6">
        <v>3</v>
      </c>
      <c r="L3" s="6">
        <v>0</v>
      </c>
      <c r="M3" s="6">
        <f>(Frame0[[#This Row],[normal]]*30)+(Frame0[[#This Row],[overtime_150]]*45)+(Frame0[[#This Row],[Overtime 200]]*60)</f>
        <v>135</v>
      </c>
    </row>
    <row r="4" spans="1:13" x14ac:dyDescent="0.25">
      <c r="A4" s="1" t="s">
        <v>13</v>
      </c>
      <c r="B4" s="2">
        <v>45751</v>
      </c>
      <c r="C4" s="1" t="s">
        <v>14</v>
      </c>
      <c r="D4" s="3">
        <v>0.77430555555555558</v>
      </c>
      <c r="E4" s="3">
        <v>3.125E-2</v>
      </c>
      <c r="F4" s="4">
        <v>0.25694444444444442</v>
      </c>
      <c r="G4" s="4">
        <v>0.22569444444444439</v>
      </c>
      <c r="H4" s="4">
        <v>3.125E-2</v>
      </c>
      <c r="I4" s="4">
        <v>0</v>
      </c>
      <c r="J4" s="6">
        <v>0</v>
      </c>
      <c r="K4" s="6">
        <v>6</v>
      </c>
      <c r="L4" s="6">
        <v>1</v>
      </c>
      <c r="M4" s="6">
        <f>(Frame0[[#This Row],[normal]]*30)+(Frame0[[#This Row],[overtime_150]]*45)+(Frame0[[#This Row],[Overtime 200]]*60)</f>
        <v>330</v>
      </c>
    </row>
    <row r="5" spans="1:13" x14ac:dyDescent="0.25">
      <c r="A5" s="1" t="s">
        <v>15</v>
      </c>
      <c r="B5" s="2">
        <v>45752</v>
      </c>
      <c r="C5" s="1" t="s">
        <v>14</v>
      </c>
      <c r="D5" s="3">
        <v>0.77083333333333337</v>
      </c>
      <c r="E5" s="3">
        <v>0.96875</v>
      </c>
      <c r="F5" s="4">
        <v>0.19791666666666671</v>
      </c>
      <c r="G5" s="4">
        <v>0.19791666666666671</v>
      </c>
      <c r="H5" s="4">
        <v>0</v>
      </c>
      <c r="I5" s="4">
        <v>0</v>
      </c>
      <c r="J5" s="6">
        <v>0</v>
      </c>
      <c r="K5" s="6">
        <v>5</v>
      </c>
      <c r="L5" s="6">
        <v>0</v>
      </c>
      <c r="M5" s="6">
        <f>(Frame0[[#This Row],[normal]]*30)+(Frame0[[#This Row],[overtime_150]]*45)+(Frame0[[#This Row],[Overtime 200]]*60)</f>
        <v>225</v>
      </c>
    </row>
    <row r="6" spans="1:13" x14ac:dyDescent="0.25">
      <c r="A6" s="1" t="s">
        <v>15</v>
      </c>
      <c r="B6" s="2">
        <v>45752</v>
      </c>
      <c r="C6" s="1" t="s">
        <v>16</v>
      </c>
      <c r="D6" s="3">
        <v>0.77083333333333337</v>
      </c>
      <c r="E6" s="3">
        <v>0.95138888888888884</v>
      </c>
      <c r="F6" s="4">
        <v>0.18055555555555561</v>
      </c>
      <c r="G6" s="4">
        <v>0.18055555555555561</v>
      </c>
      <c r="H6" s="4">
        <v>0</v>
      </c>
      <c r="I6" s="4">
        <v>0</v>
      </c>
      <c r="J6" s="6">
        <v>0</v>
      </c>
      <c r="K6" s="6">
        <v>5</v>
      </c>
      <c r="L6" s="6">
        <v>0</v>
      </c>
      <c r="M6" s="6">
        <f>(Frame0[[#This Row],[normal]]*30)+(Frame0[[#This Row],[overtime_150]]*45)+(Frame0[[#This Row],[Overtime 200]]*60)</f>
        <v>225</v>
      </c>
    </row>
    <row r="7" spans="1:13" x14ac:dyDescent="0.25">
      <c r="A7" s="1" t="s">
        <v>9</v>
      </c>
      <c r="B7" s="2">
        <v>45755</v>
      </c>
      <c r="C7" s="1" t="s">
        <v>17</v>
      </c>
      <c r="D7" s="3">
        <v>0.49305555555555558</v>
      </c>
      <c r="E7" s="3">
        <v>0.56597222222222221</v>
      </c>
      <c r="F7" s="4">
        <v>7.2916666666666671E-2</v>
      </c>
      <c r="G7" s="4">
        <v>0</v>
      </c>
      <c r="H7" s="4">
        <v>0</v>
      </c>
      <c r="I7" s="4">
        <v>7.2916666666666671E-2</v>
      </c>
      <c r="J7" s="6">
        <v>2</v>
      </c>
      <c r="K7" s="6">
        <v>0</v>
      </c>
      <c r="L7" s="6">
        <v>0</v>
      </c>
      <c r="M7" s="6">
        <f>(Frame0[[#This Row],[normal]]*30)+(Frame0[[#This Row],[overtime_150]]*45)+(Frame0[[#This Row],[Overtime 200]]*60)</f>
        <v>60</v>
      </c>
    </row>
    <row r="8" spans="1:13" x14ac:dyDescent="0.25">
      <c r="A8" s="1" t="s">
        <v>13</v>
      </c>
      <c r="B8" s="2">
        <v>45758</v>
      </c>
      <c r="C8" s="1" t="s">
        <v>18</v>
      </c>
      <c r="D8" s="3">
        <v>0.76388888888888884</v>
      </c>
      <c r="E8" s="3">
        <v>0.87152777777777779</v>
      </c>
      <c r="F8" s="4">
        <v>0.1076388888888889</v>
      </c>
      <c r="G8" s="4">
        <v>0.1076388888888889</v>
      </c>
      <c r="H8" s="4">
        <v>0</v>
      </c>
      <c r="I8" s="4">
        <v>0</v>
      </c>
      <c r="J8" s="6">
        <v>0</v>
      </c>
      <c r="K8" s="6">
        <v>3</v>
      </c>
      <c r="L8" s="6">
        <v>0</v>
      </c>
      <c r="M8" s="6">
        <f>(Frame0[[#This Row],[normal]]*30)+(Frame0[[#This Row],[overtime_150]]*45)+(Frame0[[#This Row],[Overtime 200]]*60)</f>
        <v>135</v>
      </c>
    </row>
    <row r="9" spans="1:13" x14ac:dyDescent="0.25">
      <c r="A9" s="1" t="s">
        <v>15</v>
      </c>
      <c r="B9" s="2">
        <v>45759</v>
      </c>
      <c r="C9" s="1" t="s">
        <v>18</v>
      </c>
      <c r="D9" s="3">
        <v>0.76249999999999996</v>
      </c>
      <c r="E9" s="3">
        <v>0.8569444444444444</v>
      </c>
      <c r="F9" s="4">
        <v>9.4444444444444442E-2</v>
      </c>
      <c r="G9" s="4">
        <v>9.4444444444444442E-2</v>
      </c>
      <c r="H9" s="4">
        <v>0</v>
      </c>
      <c r="I9" s="4">
        <v>0</v>
      </c>
      <c r="J9" s="6">
        <v>0</v>
      </c>
      <c r="K9" s="6">
        <v>3</v>
      </c>
      <c r="L9" s="6">
        <v>0</v>
      </c>
      <c r="M9" s="6">
        <f>(Frame0[[#This Row],[normal]]*30)+(Frame0[[#This Row],[overtime_150]]*45)+(Frame0[[#This Row],[Overtime 200]]*60)</f>
        <v>135</v>
      </c>
    </row>
    <row r="10" spans="1:13" x14ac:dyDescent="0.25">
      <c r="A10" s="1" t="s">
        <v>15</v>
      </c>
      <c r="B10" s="2">
        <v>45759</v>
      </c>
      <c r="C10" s="1" t="s">
        <v>19</v>
      </c>
      <c r="D10" s="3">
        <v>0.75</v>
      </c>
      <c r="E10" s="3">
        <v>0.875</v>
      </c>
      <c r="F10" s="4">
        <v>0.125</v>
      </c>
      <c r="G10" s="4">
        <v>0.125</v>
      </c>
      <c r="H10" s="4">
        <v>0</v>
      </c>
      <c r="I10" s="4">
        <v>0</v>
      </c>
      <c r="J10" s="6">
        <v>0</v>
      </c>
      <c r="K10" s="6">
        <v>3</v>
      </c>
      <c r="L10" s="6">
        <v>0</v>
      </c>
      <c r="M10" s="6">
        <f>(Frame0[[#This Row],[normal]]*30)+(Frame0[[#This Row],[overtime_150]]*45)+(Frame0[[#This Row],[Overtime 200]]*60)</f>
        <v>135</v>
      </c>
    </row>
    <row r="11" spans="1:13" x14ac:dyDescent="0.25">
      <c r="A11" s="1" t="s">
        <v>20</v>
      </c>
      <c r="B11" s="2">
        <v>45761</v>
      </c>
      <c r="C11" s="1" t="s">
        <v>21</v>
      </c>
      <c r="D11" s="3">
        <v>0.34375</v>
      </c>
      <c r="E11" s="3">
        <v>0.42708333333333331</v>
      </c>
      <c r="F11" s="4">
        <v>8.3333333333333329E-2</v>
      </c>
      <c r="G11" s="4">
        <v>0</v>
      </c>
      <c r="H11" s="4">
        <v>0</v>
      </c>
      <c r="I11" s="4">
        <v>8.3333333333333329E-2</v>
      </c>
      <c r="J11" s="6">
        <v>2</v>
      </c>
      <c r="K11" s="6">
        <v>0</v>
      </c>
      <c r="L11" s="6">
        <v>0</v>
      </c>
      <c r="M11" s="6">
        <f>(Frame0[[#This Row],[normal]]*30)+(Frame0[[#This Row],[overtime_150]]*45)+(Frame0[[#This Row],[Overtime 200]]*60)</f>
        <v>60</v>
      </c>
    </row>
    <row r="12" spans="1:13" x14ac:dyDescent="0.25">
      <c r="A12" s="1" t="s">
        <v>9</v>
      </c>
      <c r="B12" s="2">
        <v>45762</v>
      </c>
      <c r="C12" s="1" t="s">
        <v>22</v>
      </c>
      <c r="D12" s="3">
        <v>0.73958333333333337</v>
      </c>
      <c r="E12" s="3">
        <v>0.80208333333333337</v>
      </c>
      <c r="F12" s="4">
        <v>6.25E-2</v>
      </c>
      <c r="G12" s="4">
        <v>6.25E-2</v>
      </c>
      <c r="H12" s="4">
        <v>0</v>
      </c>
      <c r="I12" s="4">
        <v>0</v>
      </c>
      <c r="J12" s="6">
        <v>0</v>
      </c>
      <c r="K12" s="6">
        <v>2</v>
      </c>
      <c r="L12" s="6">
        <v>0</v>
      </c>
      <c r="M12" s="6">
        <f>(Frame0[[#This Row],[normal]]*30)+(Frame0[[#This Row],[overtime_150]]*45)+(Frame0[[#This Row],[Overtime 200]]*60)</f>
        <v>90</v>
      </c>
    </row>
    <row r="13" spans="1:13" x14ac:dyDescent="0.25">
      <c r="A13" s="1" t="s">
        <v>23</v>
      </c>
      <c r="B13" s="2">
        <v>45763</v>
      </c>
      <c r="C13" s="1" t="s">
        <v>24</v>
      </c>
      <c r="D13" s="3">
        <v>0.76388888888888884</v>
      </c>
      <c r="E13" s="3">
        <v>0.9375</v>
      </c>
      <c r="F13" s="4">
        <v>0.1736111111111111</v>
      </c>
      <c r="G13" s="4">
        <v>0.1736111111111111</v>
      </c>
      <c r="H13" s="4">
        <v>0</v>
      </c>
      <c r="I13" s="4">
        <v>0</v>
      </c>
      <c r="J13" s="6">
        <v>0</v>
      </c>
      <c r="K13" s="6">
        <v>5</v>
      </c>
      <c r="L13" s="6">
        <v>0</v>
      </c>
      <c r="M13" s="6">
        <f>(Frame0[[#This Row],[normal]]*30)+(Frame0[[#This Row],[overtime_150]]*45)+(Frame0[[#This Row],[Overtime 200]]*60)</f>
        <v>225</v>
      </c>
    </row>
    <row r="14" spans="1:13" x14ac:dyDescent="0.25">
      <c r="A14" s="1" t="s">
        <v>11</v>
      </c>
      <c r="B14" s="2">
        <v>45764</v>
      </c>
      <c r="C14" s="1" t="s">
        <v>25</v>
      </c>
      <c r="D14" s="3">
        <v>0.75</v>
      </c>
      <c r="E14" s="3">
        <v>0.85416666666666663</v>
      </c>
      <c r="F14" s="4">
        <v>0.1041666666666667</v>
      </c>
      <c r="G14" s="4">
        <v>0.1041666666666667</v>
      </c>
      <c r="H14" s="4">
        <v>0</v>
      </c>
      <c r="I14" s="4">
        <v>0</v>
      </c>
      <c r="J14" s="6">
        <v>0</v>
      </c>
      <c r="K14" s="6">
        <v>3</v>
      </c>
      <c r="L14" s="6">
        <v>0</v>
      </c>
      <c r="M14" s="6">
        <f>(Frame0[[#This Row],[normal]]*30)+(Frame0[[#This Row],[overtime_150]]*45)+(Frame0[[#This Row],[Overtime 200]]*60)</f>
        <v>135</v>
      </c>
    </row>
    <row r="15" spans="1:13" x14ac:dyDescent="0.25">
      <c r="A15" s="1" t="s">
        <v>11</v>
      </c>
      <c r="B15" s="2">
        <v>45764</v>
      </c>
      <c r="C15" s="1" t="s">
        <v>24</v>
      </c>
      <c r="D15" s="3">
        <v>0.73958333333333337</v>
      </c>
      <c r="E15" s="3">
        <v>0.83333333333333337</v>
      </c>
      <c r="F15" s="4">
        <v>9.375E-2</v>
      </c>
      <c r="G15" s="4">
        <v>9.375E-2</v>
      </c>
      <c r="H15" s="4">
        <v>0</v>
      </c>
      <c r="I15" s="4">
        <v>0</v>
      </c>
      <c r="J15" s="6">
        <v>0</v>
      </c>
      <c r="K15" s="6">
        <v>3</v>
      </c>
      <c r="L15" s="6">
        <v>0</v>
      </c>
      <c r="M15" s="6">
        <f>(Frame0[[#This Row],[normal]]*30)+(Frame0[[#This Row],[overtime_150]]*45)+(Frame0[[#This Row],[Overtime 200]]*60)</f>
        <v>135</v>
      </c>
    </row>
    <row r="16" spans="1:13" x14ac:dyDescent="0.25">
      <c r="A16" s="1" t="s">
        <v>26</v>
      </c>
      <c r="B16" s="2">
        <v>45765</v>
      </c>
      <c r="C16" s="1" t="s">
        <v>25</v>
      </c>
      <c r="D16" s="3">
        <v>0.70833333333333337</v>
      </c>
      <c r="E16" s="3">
        <v>0.8125</v>
      </c>
      <c r="F16" s="4">
        <v>0.1041666666666667</v>
      </c>
      <c r="G16" s="4">
        <v>0</v>
      </c>
      <c r="H16" s="4">
        <v>0.1041666666666667</v>
      </c>
      <c r="I16" s="4">
        <v>0</v>
      </c>
      <c r="J16" s="6">
        <v>0</v>
      </c>
      <c r="K16" s="6">
        <v>0</v>
      </c>
      <c r="L16" s="6">
        <v>3</v>
      </c>
      <c r="M16" s="6">
        <f>(Frame0[[#This Row],[normal]]*30)+(Frame0[[#This Row],[overtime_150]]*45)+(Frame0[[#This Row],[Overtime 200]]*60)</f>
        <v>180</v>
      </c>
    </row>
    <row r="17" spans="1:13" x14ac:dyDescent="0.25">
      <c r="A17" s="1" t="s">
        <v>26</v>
      </c>
      <c r="B17" s="2">
        <v>45766</v>
      </c>
      <c r="C17" s="1" t="s">
        <v>27</v>
      </c>
      <c r="D17" s="3">
        <v>0.34444444444444439</v>
      </c>
      <c r="E17" s="3">
        <v>0.57638888888888884</v>
      </c>
      <c r="F17" s="4">
        <v>0.23194444444444451</v>
      </c>
      <c r="G17" s="4">
        <v>0.23194444444444451</v>
      </c>
      <c r="H17" s="4">
        <v>0</v>
      </c>
      <c r="I17" s="4">
        <v>0</v>
      </c>
      <c r="J17" s="6">
        <v>0</v>
      </c>
      <c r="K17" s="6">
        <v>6</v>
      </c>
      <c r="L17" s="6">
        <v>0</v>
      </c>
      <c r="M17" s="6">
        <f>(Frame0[[#This Row],[normal]]*30)+(Frame0[[#This Row],[overtime_150]]*45)+(Frame0[[#This Row],[Overtime 200]]*60)</f>
        <v>270</v>
      </c>
    </row>
    <row r="18" spans="1:13" x14ac:dyDescent="0.25">
      <c r="A18" s="1" t="s">
        <v>28</v>
      </c>
      <c r="B18" s="2">
        <v>45767</v>
      </c>
      <c r="C18" s="1" t="s">
        <v>29</v>
      </c>
      <c r="D18" s="3">
        <v>0.71527777777777779</v>
      </c>
      <c r="E18" s="3">
        <v>0.75972222222222219</v>
      </c>
      <c r="F18" s="4">
        <v>4.4444444444444453E-2</v>
      </c>
      <c r="G18" s="4">
        <v>0</v>
      </c>
      <c r="H18" s="4">
        <v>4.4444444444444453E-2</v>
      </c>
      <c r="I18" s="4">
        <v>0</v>
      </c>
      <c r="J18" s="6">
        <v>0</v>
      </c>
      <c r="K18" s="6">
        <v>0</v>
      </c>
      <c r="L18" s="6">
        <v>2</v>
      </c>
      <c r="M18" s="6">
        <f>(Frame0[[#This Row],[normal]]*30)+(Frame0[[#This Row],[overtime_150]]*45)+(Frame0[[#This Row],[Overtime 200]]*60)</f>
        <v>120</v>
      </c>
    </row>
    <row r="19" spans="1:13" x14ac:dyDescent="0.25">
      <c r="A19" s="1" t="s">
        <v>23</v>
      </c>
      <c r="B19" s="2">
        <v>45770</v>
      </c>
      <c r="C19" s="1" t="s">
        <v>19</v>
      </c>
      <c r="D19" s="3">
        <v>0.78125</v>
      </c>
      <c r="E19" s="3">
        <v>0.84861111111111109</v>
      </c>
      <c r="F19" s="4">
        <v>6.7361111111111108E-2</v>
      </c>
      <c r="G19" s="4">
        <v>6.7361111111111108E-2</v>
      </c>
      <c r="H19" s="4">
        <v>0</v>
      </c>
      <c r="I19" s="4">
        <v>0</v>
      </c>
      <c r="J19" s="6">
        <v>0</v>
      </c>
      <c r="K19" s="6">
        <v>2</v>
      </c>
      <c r="L19" s="6">
        <v>0</v>
      </c>
      <c r="M19" s="6">
        <f>(Frame0[[#This Row],[normal]]*30)+(Frame0[[#This Row],[overtime_150]]*45)+(Frame0[[#This Row],[Overtime 200]]*60)</f>
        <v>90</v>
      </c>
    </row>
    <row r="20" spans="1:13" x14ac:dyDescent="0.25">
      <c r="A20" s="1" t="s">
        <v>15</v>
      </c>
      <c r="B20" s="2">
        <v>45773</v>
      </c>
      <c r="C20" s="1" t="s">
        <v>30</v>
      </c>
      <c r="D20" s="3">
        <v>0.73958333333333337</v>
      </c>
      <c r="E20" s="3">
        <v>0.98611111111111116</v>
      </c>
      <c r="F20" s="4">
        <v>0.24652777777777779</v>
      </c>
      <c r="G20" s="4">
        <v>0.24652777777777779</v>
      </c>
      <c r="H20" s="4">
        <v>0</v>
      </c>
      <c r="I20" s="4">
        <v>0</v>
      </c>
      <c r="J20" s="6">
        <v>0</v>
      </c>
      <c r="K20" s="6">
        <v>6</v>
      </c>
      <c r="L20" s="6">
        <v>0</v>
      </c>
      <c r="M20" s="6">
        <f>(Frame0[[#This Row],[normal]]*30)+(Frame0[[#This Row],[overtime_150]]*45)+(Frame0[[#This Row],[Overtime 200]]*60)</f>
        <v>270</v>
      </c>
    </row>
    <row r="21" spans="1:13" x14ac:dyDescent="0.25">
      <c r="A21" s="1" t="s">
        <v>28</v>
      </c>
      <c r="B21" s="2">
        <v>45774</v>
      </c>
      <c r="C21" s="1" t="s">
        <v>31</v>
      </c>
      <c r="D21" s="3">
        <v>0.68055555555555558</v>
      </c>
      <c r="E21" s="3">
        <v>0.75</v>
      </c>
      <c r="F21" s="4">
        <v>6.9444444444444448E-2</v>
      </c>
      <c r="G21" s="4">
        <v>0</v>
      </c>
      <c r="H21" s="4">
        <v>6.9444444444444448E-2</v>
      </c>
      <c r="I21" s="4">
        <v>0</v>
      </c>
      <c r="J21" s="6">
        <v>0</v>
      </c>
      <c r="K21" s="6">
        <v>0</v>
      </c>
      <c r="L21" s="6">
        <v>2</v>
      </c>
      <c r="M21" s="6">
        <f>(Frame0[[#This Row],[normal]]*30)+(Frame0[[#This Row],[overtime_150]]*45)+(Frame0[[#This Row],[Overtime 200]]*60)</f>
        <v>120</v>
      </c>
    </row>
    <row r="22" spans="1:13" x14ac:dyDescent="0.25">
      <c r="A22" s="1" t="s">
        <v>20</v>
      </c>
      <c r="B22" s="2">
        <v>45775</v>
      </c>
      <c r="C22" s="1" t="s">
        <v>16</v>
      </c>
      <c r="D22" s="3">
        <v>0.34722222222222221</v>
      </c>
      <c r="E22" s="3">
        <v>0.54166666666666663</v>
      </c>
      <c r="F22" s="4">
        <v>0.19444444444444439</v>
      </c>
      <c r="G22" s="4">
        <v>0</v>
      </c>
      <c r="H22" s="4">
        <v>0</v>
      </c>
      <c r="I22" s="4">
        <v>0.19444444444444439</v>
      </c>
      <c r="J22" s="6">
        <v>5</v>
      </c>
      <c r="K22" s="6">
        <v>0</v>
      </c>
      <c r="L22" s="6">
        <v>0</v>
      </c>
      <c r="M22" s="6">
        <f>(Frame0[[#This Row],[normal]]*30)+(Frame0[[#This Row],[overtime_150]]*45)+(Frame0[[#This Row],[Overtime 200]]*60)</f>
        <v>150</v>
      </c>
    </row>
    <row r="23" spans="1:13" x14ac:dyDescent="0.25">
      <c r="A23" s="1" t="s">
        <v>23</v>
      </c>
      <c r="B23" s="2">
        <v>45777</v>
      </c>
      <c r="C23" s="1" t="s">
        <v>32</v>
      </c>
      <c r="D23" s="3">
        <v>0.72916666666666663</v>
      </c>
      <c r="E23" s="3">
        <v>0.77083333333333337</v>
      </c>
      <c r="F23" s="4">
        <v>4.1666666666666657E-2</v>
      </c>
      <c r="G23" s="4">
        <v>4.1666666666666657E-2</v>
      </c>
      <c r="H23" s="4">
        <v>0</v>
      </c>
      <c r="I23" s="4">
        <v>0</v>
      </c>
      <c r="J23" s="6">
        <v>0</v>
      </c>
      <c r="K23" s="6">
        <v>1</v>
      </c>
      <c r="L23" s="6">
        <v>0</v>
      </c>
      <c r="M23" s="6">
        <f>(Frame0[[#This Row],[normal]]*30)+(Frame0[[#This Row],[overtime_150]]*45)+(Frame0[[#This Row],[Overtime 200]]*60)</f>
        <v>45</v>
      </c>
    </row>
    <row r="24" spans="1:13" x14ac:dyDescent="0.25">
      <c r="A24" s="1" t="s">
        <v>23</v>
      </c>
      <c r="B24" s="2">
        <v>45777</v>
      </c>
      <c r="C24" s="1" t="s">
        <v>33</v>
      </c>
      <c r="D24" s="3">
        <v>0.59375</v>
      </c>
      <c r="E24" s="3">
        <v>0.66180555555555554</v>
      </c>
      <c r="F24" s="4">
        <v>6.805555555555555E-2</v>
      </c>
      <c r="G24" s="4">
        <v>0</v>
      </c>
      <c r="H24" s="4">
        <v>0</v>
      </c>
      <c r="I24" s="4">
        <v>6.805555555555555E-2</v>
      </c>
      <c r="J24" s="6">
        <v>2</v>
      </c>
      <c r="K24" s="6">
        <v>0</v>
      </c>
      <c r="L24" s="6">
        <v>0</v>
      </c>
      <c r="M24" s="6">
        <f>(Frame0[[#This Row],[normal]]*30)+(Frame0[[#This Row],[overtime_150]]*45)+(Frame0[[#This Row],[Overtime 200]]*60)</f>
        <v>60</v>
      </c>
    </row>
    <row r="25" spans="1:13" x14ac:dyDescent="0.25">
      <c r="A25" t="s">
        <v>23</v>
      </c>
      <c r="B25" s="7">
        <v>45784</v>
      </c>
      <c r="C25" t="s">
        <v>10</v>
      </c>
      <c r="D25" s="8">
        <v>0.75694444444444442</v>
      </c>
      <c r="E25" s="8">
        <v>0.89930555555555558</v>
      </c>
      <c r="F25" s="5">
        <v>0.1423611111111111</v>
      </c>
      <c r="G25" s="5">
        <v>0.1423611111111111</v>
      </c>
      <c r="H25" s="5">
        <v>0</v>
      </c>
      <c r="I25" s="5">
        <v>0</v>
      </c>
      <c r="J25" s="6">
        <v>0</v>
      </c>
      <c r="K25" s="6">
        <v>4</v>
      </c>
      <c r="L25" s="6">
        <v>0</v>
      </c>
      <c r="M25" s="6">
        <f>(Frame0[[#This Row],[normal]]*30)+(Frame0[[#This Row],[overtime_150]]*45)+(Frame0[[#This Row],[Overtime 200]]*60)</f>
        <v>180</v>
      </c>
    </row>
    <row r="26" spans="1:13" x14ac:dyDescent="0.25">
      <c r="A26" t="s">
        <v>23</v>
      </c>
      <c r="B26" s="7">
        <v>45784</v>
      </c>
      <c r="C26" t="s">
        <v>38</v>
      </c>
      <c r="D26" s="8">
        <v>0.79861111111111116</v>
      </c>
      <c r="E26" s="8">
        <v>0.1875</v>
      </c>
      <c r="F26" s="5">
        <v>0.3888888888888889</v>
      </c>
      <c r="G26" s="5">
        <v>0.2013888888888889</v>
      </c>
      <c r="H26" s="5">
        <v>0.1875</v>
      </c>
      <c r="I26" s="5">
        <v>0</v>
      </c>
      <c r="J26" s="6">
        <v>0</v>
      </c>
      <c r="K26" s="6">
        <v>5</v>
      </c>
      <c r="L26" s="6">
        <v>5</v>
      </c>
      <c r="M26" s="6">
        <f>(Frame0[[#This Row],[normal]]*30)+(Frame0[[#This Row],[overtime_150]]*45)+(Frame0[[#This Row],[Overtime 200]]*60)</f>
        <v>525</v>
      </c>
    </row>
    <row r="27" spans="1:13" x14ac:dyDescent="0.25">
      <c r="A27" t="s">
        <v>11</v>
      </c>
      <c r="B27" s="7">
        <v>45785</v>
      </c>
      <c r="C27" t="s">
        <v>17</v>
      </c>
      <c r="D27" s="8">
        <v>0.73263888888888884</v>
      </c>
      <c r="E27" s="8">
        <v>0.80902777777777779</v>
      </c>
      <c r="F27" s="5">
        <v>7.6388888888888895E-2</v>
      </c>
      <c r="G27" s="5">
        <v>7.6388888888888895E-2</v>
      </c>
      <c r="H27" s="5">
        <v>0</v>
      </c>
      <c r="I27" s="5">
        <v>0</v>
      </c>
      <c r="J27" s="6">
        <v>0</v>
      </c>
      <c r="K27" s="6">
        <v>2</v>
      </c>
      <c r="L27" s="6">
        <v>0</v>
      </c>
      <c r="M27" s="6">
        <f>(Frame0[[#This Row],[normal]]*30)+(Frame0[[#This Row],[overtime_150]]*45)+(Frame0[[#This Row],[Overtime 200]]*60)</f>
        <v>90</v>
      </c>
    </row>
    <row r="28" spans="1:13" x14ac:dyDescent="0.25">
      <c r="A28" t="s">
        <v>15</v>
      </c>
      <c r="B28" s="7">
        <v>45787</v>
      </c>
      <c r="C28" t="s">
        <v>32</v>
      </c>
      <c r="D28" s="8">
        <v>0.7583333333333333</v>
      </c>
      <c r="E28" s="8">
        <v>0.92013888888888884</v>
      </c>
      <c r="F28" s="5">
        <v>0.16180555555555559</v>
      </c>
      <c r="G28" s="5">
        <v>0.16180555555555559</v>
      </c>
      <c r="H28" s="5">
        <v>0</v>
      </c>
      <c r="I28" s="5">
        <v>0</v>
      </c>
      <c r="J28" s="6">
        <v>0</v>
      </c>
      <c r="K28" s="6">
        <v>4</v>
      </c>
      <c r="L28" s="6">
        <v>0</v>
      </c>
      <c r="M28" s="6">
        <f>(Frame0[[#This Row],[normal]]*30)+(Frame0[[#This Row],[overtime_150]]*45)+(Frame0[[#This Row],[Overtime 200]]*60)</f>
        <v>180</v>
      </c>
    </row>
    <row r="29" spans="1:13" x14ac:dyDescent="0.25">
      <c r="A29" t="s">
        <v>20</v>
      </c>
      <c r="B29" s="7">
        <v>45789</v>
      </c>
      <c r="C29" t="s">
        <v>12</v>
      </c>
      <c r="D29" s="8">
        <v>0.77083333333333337</v>
      </c>
      <c r="E29" s="8">
        <v>0.875</v>
      </c>
      <c r="F29" s="5">
        <v>0.1041666666666667</v>
      </c>
      <c r="G29" s="5">
        <v>0.1041666666666667</v>
      </c>
      <c r="H29" s="5">
        <v>0</v>
      </c>
      <c r="I29" s="5">
        <v>0</v>
      </c>
      <c r="J29" s="6">
        <v>0</v>
      </c>
      <c r="K29" s="6">
        <v>3</v>
      </c>
      <c r="L29" s="6">
        <v>0</v>
      </c>
      <c r="M29" s="6">
        <f>(Frame0[[#This Row],[normal]]*30)+(Frame0[[#This Row],[overtime_150]]*45)+(Frame0[[#This Row],[Overtime 200]]*60)</f>
        <v>135</v>
      </c>
    </row>
    <row r="30" spans="1:13" x14ac:dyDescent="0.25">
      <c r="A30" t="s">
        <v>9</v>
      </c>
      <c r="B30" s="7">
        <v>45790</v>
      </c>
      <c r="C30" t="s">
        <v>14</v>
      </c>
      <c r="D30" s="8">
        <v>0.80208333333333337</v>
      </c>
      <c r="E30" s="8">
        <v>0.9291666666666667</v>
      </c>
      <c r="F30" s="5">
        <v>0.1270833333333333</v>
      </c>
      <c r="G30" s="5">
        <v>0.1270833333333333</v>
      </c>
      <c r="H30" s="5">
        <v>0</v>
      </c>
      <c r="I30" s="5">
        <v>0</v>
      </c>
      <c r="J30" s="6">
        <v>0</v>
      </c>
      <c r="K30" s="6">
        <v>4</v>
      </c>
      <c r="L30" s="6">
        <v>0</v>
      </c>
      <c r="M30" s="6">
        <f>(Frame0[[#This Row],[normal]]*30)+(Frame0[[#This Row],[overtime_150]]*45)+(Frame0[[#This Row],[Overtime 200]]*60)</f>
        <v>180</v>
      </c>
    </row>
    <row r="31" spans="1:13" x14ac:dyDescent="0.25">
      <c r="A31" t="s">
        <v>9</v>
      </c>
      <c r="B31" s="7">
        <v>45790</v>
      </c>
      <c r="C31" t="s">
        <v>39</v>
      </c>
      <c r="D31" s="8">
        <v>0.75</v>
      </c>
      <c r="E31" s="8">
        <v>0.82638888888888884</v>
      </c>
      <c r="F31" s="5">
        <v>7.6388888888888895E-2</v>
      </c>
      <c r="G31" s="5">
        <v>7.6388888888888895E-2</v>
      </c>
      <c r="H31" s="5">
        <v>0</v>
      </c>
      <c r="I31" s="5">
        <v>0</v>
      </c>
      <c r="J31" s="6">
        <v>0</v>
      </c>
      <c r="K31" s="6">
        <v>2</v>
      </c>
      <c r="L31" s="6">
        <v>0</v>
      </c>
      <c r="M31" s="6">
        <f>(Frame0[[#This Row],[normal]]*30)+(Frame0[[#This Row],[overtime_150]]*45)+(Frame0[[#This Row],[Overtime 200]]*60)</f>
        <v>90</v>
      </c>
    </row>
    <row r="32" spans="1:13" x14ac:dyDescent="0.25">
      <c r="A32" t="s">
        <v>13</v>
      </c>
      <c r="B32" s="7">
        <v>45793</v>
      </c>
      <c r="C32" t="s">
        <v>40</v>
      </c>
      <c r="D32" s="8">
        <v>0.77777777777777779</v>
      </c>
      <c r="E32" s="8">
        <v>3.125E-2</v>
      </c>
      <c r="F32" s="5">
        <v>0.25347222222222221</v>
      </c>
      <c r="G32" s="5">
        <v>0.22222222222222221</v>
      </c>
      <c r="H32" s="5">
        <v>3.125E-2</v>
      </c>
      <c r="I32" s="5">
        <v>0</v>
      </c>
      <c r="J32" s="6">
        <v>0</v>
      </c>
      <c r="K32" s="6">
        <v>6</v>
      </c>
      <c r="L32" s="6">
        <v>1</v>
      </c>
      <c r="M32" s="6">
        <f>(Frame0[[#This Row],[normal]]*30)+(Frame0[[#This Row],[overtime_150]]*45)+(Frame0[[#This Row],[Overtime 200]]*60)</f>
        <v>330</v>
      </c>
    </row>
    <row r="33" spans="1:13" x14ac:dyDescent="0.25">
      <c r="A33" t="s">
        <v>15</v>
      </c>
      <c r="B33" s="7">
        <v>45794</v>
      </c>
      <c r="C33" t="s">
        <v>41</v>
      </c>
      <c r="D33" s="8">
        <v>0.73611111111111116</v>
      </c>
      <c r="E33" s="8">
        <v>0.1152777777777778</v>
      </c>
      <c r="F33" s="5">
        <v>0.37916666666666671</v>
      </c>
      <c r="G33" s="5">
        <v>0.2638888888888889</v>
      </c>
      <c r="H33" s="5">
        <v>0.1152777777777778</v>
      </c>
      <c r="I33" s="5">
        <v>0</v>
      </c>
      <c r="J33" s="6">
        <v>0</v>
      </c>
      <c r="K33" s="6">
        <v>7</v>
      </c>
      <c r="L33" s="6">
        <v>3</v>
      </c>
      <c r="M33" s="6">
        <f>(Frame0[[#This Row],[normal]]*30)+(Frame0[[#This Row],[overtime_150]]*45)+(Frame0[[#This Row],[Overtime 200]]*60)</f>
        <v>495</v>
      </c>
    </row>
    <row r="34" spans="1:13" x14ac:dyDescent="0.25">
      <c r="A34" t="s">
        <v>28</v>
      </c>
      <c r="B34" s="7">
        <v>45795</v>
      </c>
      <c r="C34" t="s">
        <v>41</v>
      </c>
      <c r="D34" s="8">
        <v>0.69097222222222221</v>
      </c>
      <c r="E34" s="8">
        <v>0.7319444444444444</v>
      </c>
      <c r="F34" s="5">
        <v>4.0972222222222222E-2</v>
      </c>
      <c r="G34" s="5">
        <v>0</v>
      </c>
      <c r="H34" s="5">
        <v>4.0972222222222222E-2</v>
      </c>
      <c r="I34" s="5">
        <v>0</v>
      </c>
      <c r="J34" s="6">
        <v>0</v>
      </c>
      <c r="K34" s="6">
        <v>0</v>
      </c>
      <c r="L34" s="6">
        <v>1</v>
      </c>
      <c r="M34" s="6">
        <f>(Frame0[[#This Row],[normal]]*30)+(Frame0[[#This Row],[overtime_150]]*45)+(Frame0[[#This Row],[Overtime 200]]*60)</f>
        <v>60</v>
      </c>
    </row>
    <row r="35" spans="1:13" x14ac:dyDescent="0.25">
      <c r="A35" t="s">
        <v>11</v>
      </c>
      <c r="B35" s="7">
        <v>45799</v>
      </c>
      <c r="C35" t="s">
        <v>22</v>
      </c>
      <c r="D35" s="8">
        <v>0.54861111111111116</v>
      </c>
      <c r="E35" s="8">
        <v>0.70833333333333337</v>
      </c>
      <c r="F35" s="5">
        <v>0.15972222222222221</v>
      </c>
      <c r="G35" s="5">
        <v>0</v>
      </c>
      <c r="H35" s="5">
        <v>0</v>
      </c>
      <c r="I35" s="5">
        <v>0.15972222222222221</v>
      </c>
      <c r="J35" s="6">
        <v>4</v>
      </c>
      <c r="K35" s="6">
        <v>0</v>
      </c>
      <c r="L35" s="6">
        <v>0</v>
      </c>
      <c r="M35" s="6">
        <f>(Frame0[[#This Row],[normal]]*30)+(Frame0[[#This Row],[overtime_150]]*45)+(Frame0[[#This Row],[Overtime 200]]*60)</f>
        <v>120</v>
      </c>
    </row>
    <row r="36" spans="1:13" x14ac:dyDescent="0.25">
      <c r="A36" t="s">
        <v>11</v>
      </c>
      <c r="B36" s="7">
        <v>45799</v>
      </c>
      <c r="C36" t="s">
        <v>19</v>
      </c>
      <c r="D36" s="8">
        <v>0.77083333333333337</v>
      </c>
      <c r="E36" s="8">
        <v>3.125E-2</v>
      </c>
      <c r="F36" s="5">
        <v>0.26041666666666669</v>
      </c>
      <c r="G36" s="5">
        <v>0.22916666666666671</v>
      </c>
      <c r="H36" s="5">
        <v>3.125E-2</v>
      </c>
      <c r="I36" s="5">
        <v>0</v>
      </c>
      <c r="J36" s="6">
        <v>0</v>
      </c>
      <c r="K36" s="6">
        <v>6</v>
      </c>
      <c r="L36" s="6">
        <v>1</v>
      </c>
      <c r="M36" s="6">
        <f>(Frame0[[#This Row],[normal]]*30)+(Frame0[[#This Row],[overtime_150]]*45)+(Frame0[[#This Row],[Overtime 200]]*60)</f>
        <v>330</v>
      </c>
    </row>
    <row r="37" spans="1:13" x14ac:dyDescent="0.25">
      <c r="A37" t="s">
        <v>11</v>
      </c>
      <c r="B37" s="7">
        <v>45799</v>
      </c>
      <c r="C37" t="s">
        <v>31</v>
      </c>
      <c r="D37" s="8">
        <v>0.56597222222222221</v>
      </c>
      <c r="E37" s="8">
        <v>0.88541666666666663</v>
      </c>
      <c r="F37" s="5">
        <v>0.31944444444444442</v>
      </c>
      <c r="G37" s="5">
        <v>0.17708333333333329</v>
      </c>
      <c r="H37" s="5">
        <v>0</v>
      </c>
      <c r="I37" s="5">
        <v>0.1423611111111111</v>
      </c>
      <c r="J37" s="6">
        <v>4</v>
      </c>
      <c r="K37" s="6">
        <v>5</v>
      </c>
      <c r="L37" s="6">
        <v>0</v>
      </c>
      <c r="M37" s="6">
        <f>(Frame0[[#This Row],[normal]]*30)+(Frame0[[#This Row],[overtime_150]]*45)+(Frame0[[#This Row],[Overtime 200]]*60)</f>
        <v>345</v>
      </c>
    </row>
    <row r="38" spans="1:13" x14ac:dyDescent="0.25">
      <c r="A38" t="s">
        <v>13</v>
      </c>
      <c r="B38" s="7">
        <v>45800</v>
      </c>
      <c r="C38" t="s">
        <v>14</v>
      </c>
      <c r="D38" s="8">
        <v>0.75</v>
      </c>
      <c r="E38" s="8">
        <v>0.90277777777777779</v>
      </c>
      <c r="F38" s="5">
        <v>0.15277777777777779</v>
      </c>
      <c r="G38" s="5">
        <v>0.15277777777777779</v>
      </c>
      <c r="H38" s="5">
        <v>0</v>
      </c>
      <c r="I38" s="5">
        <v>0</v>
      </c>
      <c r="J38" s="6">
        <v>0</v>
      </c>
      <c r="K38" s="6">
        <v>4</v>
      </c>
      <c r="L38" s="6">
        <v>0</v>
      </c>
      <c r="M38" s="6">
        <f>(Frame0[[#This Row],[normal]]*30)+(Frame0[[#This Row],[overtime_150]]*45)+(Frame0[[#This Row],[Overtime 200]]*60)</f>
        <v>180</v>
      </c>
    </row>
    <row r="39" spans="1:13" x14ac:dyDescent="0.25">
      <c r="A39" t="s">
        <v>15</v>
      </c>
      <c r="B39" s="7">
        <v>45801</v>
      </c>
      <c r="C39" t="s">
        <v>14</v>
      </c>
      <c r="D39" s="8">
        <v>0.75</v>
      </c>
      <c r="E39" s="8">
        <v>0.875</v>
      </c>
      <c r="F39" s="5">
        <v>0.125</v>
      </c>
      <c r="G39" s="5">
        <v>0.125</v>
      </c>
      <c r="H39" s="5">
        <v>0</v>
      </c>
      <c r="I39" s="5">
        <v>0</v>
      </c>
      <c r="J39" s="6">
        <v>0</v>
      </c>
      <c r="K39" s="6">
        <v>3</v>
      </c>
      <c r="L39" s="6">
        <v>0</v>
      </c>
      <c r="M39" s="6">
        <f>(Frame0[[#This Row],[normal]]*30)+(Frame0[[#This Row],[overtime_150]]*45)+(Frame0[[#This Row],[Overtime 200]]*60)</f>
        <v>135</v>
      </c>
    </row>
    <row r="40" spans="1:13" x14ac:dyDescent="0.25">
      <c r="A40" t="s">
        <v>11</v>
      </c>
      <c r="B40" s="7">
        <v>45806</v>
      </c>
      <c r="C40" t="s">
        <v>10</v>
      </c>
      <c r="D40" s="8">
        <v>0.75347222222222221</v>
      </c>
      <c r="E40" s="8">
        <v>0.90972222222222221</v>
      </c>
      <c r="F40" s="5">
        <v>0.15625</v>
      </c>
      <c r="G40" s="5">
        <v>0.15625</v>
      </c>
      <c r="H40" s="5">
        <v>0</v>
      </c>
      <c r="I40" s="5">
        <v>0</v>
      </c>
      <c r="J40" s="6">
        <v>0</v>
      </c>
      <c r="K40" s="6">
        <v>4</v>
      </c>
      <c r="L40" s="6">
        <v>0</v>
      </c>
      <c r="M40" s="6">
        <f>(Frame0[[#This Row],[normal]]*30)+(Frame0[[#This Row],[overtime_150]]*45)+(Frame0[[#This Row],[Overtime 200]]*60)</f>
        <v>180</v>
      </c>
    </row>
    <row r="41" spans="1:13" x14ac:dyDescent="0.25">
      <c r="A41" t="s">
        <v>15</v>
      </c>
      <c r="B41" s="7">
        <v>45808</v>
      </c>
      <c r="C41" t="s">
        <v>10</v>
      </c>
      <c r="D41" s="8">
        <v>0.83333333333333337</v>
      </c>
      <c r="E41" s="8">
        <v>0.99930555555555556</v>
      </c>
      <c r="F41" s="5">
        <v>0.16597222222222219</v>
      </c>
      <c r="G41" s="5">
        <v>0.16597222222222219</v>
      </c>
      <c r="H41" s="5">
        <v>0</v>
      </c>
      <c r="I41" s="5">
        <v>0</v>
      </c>
      <c r="J41" s="6">
        <v>0</v>
      </c>
      <c r="K41" s="6">
        <v>4</v>
      </c>
      <c r="L41" s="6">
        <v>0</v>
      </c>
      <c r="M41" s="6">
        <f>(Frame0[[#This Row],[normal]]*30)+(Frame0[[#This Row],[overtime_150]]*45)+(Frame0[[#This Row],[Overtime 200]]*60)</f>
        <v>180</v>
      </c>
    </row>
    <row r="42" spans="1:13" x14ac:dyDescent="0.25">
      <c r="A42" t="s">
        <v>15</v>
      </c>
      <c r="B42" s="7">
        <v>45808</v>
      </c>
      <c r="C42" t="s">
        <v>30</v>
      </c>
      <c r="D42" s="8">
        <v>0.75</v>
      </c>
      <c r="E42" s="8">
        <v>0.90833333333333333</v>
      </c>
      <c r="F42" s="5">
        <v>0.1583333333333333</v>
      </c>
      <c r="G42" s="5">
        <v>0.1583333333333333</v>
      </c>
      <c r="H42" s="5">
        <v>0</v>
      </c>
      <c r="I42" s="5">
        <v>0</v>
      </c>
      <c r="J42" s="6">
        <v>0</v>
      </c>
      <c r="K42" s="6">
        <v>4</v>
      </c>
      <c r="L42" s="6">
        <v>0</v>
      </c>
      <c r="M42" s="6">
        <f>(Frame0[[#This Row],[normal]]*30)+(Frame0[[#This Row],[overtime_150]]*45)+(Frame0[[#This Row],[Overtime 200]]*60)</f>
        <v>180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Garry Mounac</cp:lastModifiedBy>
  <dcterms:created xsi:type="dcterms:W3CDTF">2025-07-15T12:58:35Z</dcterms:created>
  <dcterms:modified xsi:type="dcterms:W3CDTF">2025-07-15T13:06:37Z</dcterms:modified>
</cp:coreProperties>
</file>